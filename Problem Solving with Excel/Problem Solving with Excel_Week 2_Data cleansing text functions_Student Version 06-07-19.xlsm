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yse008\Desktop\"/>
    </mc:Choice>
  </mc:AlternateContent>
  <bookViews>
    <workbookView xWindow="0" yWindow="0" windowWidth="25600" windowHeight="11640" tabRatio="904"/>
  </bookViews>
  <sheets>
    <sheet name="Introduction" sheetId="1" r:id="rId1"/>
    <sheet name="Table of contents" sheetId="2" r:id="rId2"/>
    <sheet name="Section 1 - Right, Left" sheetId="3" r:id="rId3"/>
    <sheet name="Section 1 - Right, Left (ANS)" sheetId="25" state="hidden" r:id="rId4"/>
    <sheet name="Section 2 - Find, Len" sheetId="22" r:id="rId5"/>
    <sheet name="Section 2 - Find, Len, Mid(ANS)" sheetId="26" state="hidden" r:id="rId6"/>
    <sheet name="Section 3 - Prop, Con" sheetId="21" r:id="rId7"/>
    <sheet name="Section 3 - Prop, Con (ANS)" sheetId="27" state="hidden" r:id="rId8"/>
    <sheet name="Section 4 - Valid" sheetId="24" r:id="rId9"/>
    <sheet name="Section 4 - Valid ANS" sheetId="23" state="hidden" r:id="rId10"/>
  </sheets>
  <definedNames>
    <definedName name="products" localSheetId="8">'Section 4 - Valid'!$K$59:$K$62</definedName>
    <definedName name="products">'Section 4 - Valid ANS'!$K$59:$K$62</definedName>
    <definedName name="saleschannel" localSheetId="8">'Section 4 - Valid'!$L$59:$L$60</definedName>
    <definedName name="saleschannel">'Section 4 - Valid ANS'!$L$59:$L$60</definedName>
    <definedName name="salesmen" localSheetId="8">'Section 4 - Valid'!$I$59:$I$66</definedName>
    <definedName name="salesmen">'Section 4 - Valid ANS'!$I$59:$I$66</definedName>
  </definedNames>
  <calcPr calcId="15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4" i="26" l="1"/>
  <c r="H35" i="26"/>
  <c r="H36" i="26"/>
  <c r="H37" i="26"/>
  <c r="H38" i="26"/>
  <c r="H39" i="26"/>
  <c r="H33" i="26"/>
  <c r="G34" i="26"/>
  <c r="G35" i="26"/>
  <c r="G36" i="26"/>
  <c r="G37" i="26"/>
  <c r="G38" i="26"/>
  <c r="G39" i="26"/>
  <c r="G33" i="26"/>
  <c r="C33" i="26"/>
  <c r="C34" i="26"/>
  <c r="C35" i="26"/>
  <c r="C36" i="26"/>
  <c r="C37" i="26"/>
  <c r="C38" i="26"/>
  <c r="C39" i="26"/>
  <c r="D34" i="26"/>
  <c r="F34" i="26"/>
  <c r="D35" i="26"/>
  <c r="F35" i="26"/>
  <c r="D36" i="26"/>
  <c r="F36" i="26"/>
  <c r="D37" i="26"/>
  <c r="F37" i="26"/>
  <c r="D38" i="26"/>
  <c r="F38" i="26"/>
  <c r="D39" i="26"/>
  <c r="F39" i="26"/>
  <c r="D33" i="26"/>
  <c r="F33" i="26"/>
  <c r="D34" i="27"/>
  <c r="F34" i="27"/>
  <c r="E34" i="27"/>
  <c r="D35" i="27"/>
  <c r="F35" i="27"/>
  <c r="E35" i="27"/>
  <c r="D36" i="27"/>
  <c r="F36" i="27"/>
  <c r="E36" i="27"/>
  <c r="D37" i="27"/>
  <c r="F37" i="27"/>
  <c r="E37" i="27"/>
  <c r="D38" i="27"/>
  <c r="F38" i="27"/>
  <c r="E38" i="27"/>
  <c r="E33" i="27"/>
  <c r="D33" i="27"/>
  <c r="F33" i="27"/>
  <c r="D14" i="27"/>
  <c r="E14" i="27"/>
  <c r="D15" i="27"/>
  <c r="E15" i="27"/>
  <c r="D16" i="27"/>
  <c r="E16" i="27"/>
  <c r="D17" i="27"/>
  <c r="E17" i="27"/>
  <c r="D18" i="27"/>
  <c r="E18" i="27"/>
  <c r="D19" i="27"/>
  <c r="E19" i="27"/>
  <c r="D20" i="27"/>
  <c r="E20" i="27"/>
  <c r="D13" i="27"/>
  <c r="E13" i="27"/>
  <c r="A3" i="27"/>
  <c r="A2" i="27"/>
  <c r="A1" i="27"/>
  <c r="E34" i="26"/>
  <c r="E35" i="26"/>
  <c r="E36" i="26"/>
  <c r="E37" i="26"/>
  <c r="E38" i="26"/>
  <c r="E39" i="26"/>
  <c r="E33" i="26"/>
  <c r="F14" i="26"/>
  <c r="F15" i="26"/>
  <c r="F16" i="26"/>
  <c r="F17" i="26"/>
  <c r="F18" i="26"/>
  <c r="F19" i="26"/>
  <c r="F20" i="26"/>
  <c r="F13" i="26"/>
  <c r="D14" i="26"/>
  <c r="C14" i="26"/>
  <c r="E14" i="26"/>
  <c r="D15" i="26"/>
  <c r="C15" i="26"/>
  <c r="E15" i="26"/>
  <c r="D16" i="26"/>
  <c r="C16" i="26"/>
  <c r="E16" i="26"/>
  <c r="D17" i="26"/>
  <c r="C17" i="26"/>
  <c r="E17" i="26"/>
  <c r="D18" i="26"/>
  <c r="C18" i="26"/>
  <c r="E18" i="26"/>
  <c r="D19" i="26"/>
  <c r="C19" i="26"/>
  <c r="E19" i="26"/>
  <c r="D20" i="26"/>
  <c r="C20" i="26"/>
  <c r="E20" i="26"/>
  <c r="D13" i="26"/>
  <c r="C13" i="26"/>
  <c r="E13" i="26"/>
  <c r="A3" i="26"/>
  <c r="A2" i="26"/>
  <c r="A1" i="26"/>
  <c r="C35" i="25"/>
  <c r="C36" i="25"/>
  <c r="C37" i="25"/>
  <c r="C38" i="25"/>
  <c r="C39" i="25"/>
  <c r="C40" i="25"/>
  <c r="C41" i="25"/>
  <c r="C34" i="25"/>
  <c r="C14" i="25"/>
  <c r="C15" i="25"/>
  <c r="C16" i="25"/>
  <c r="C17" i="25"/>
  <c r="C18" i="25"/>
  <c r="C19" i="25"/>
  <c r="C20" i="25"/>
  <c r="C13" i="25"/>
  <c r="A3" i="25"/>
  <c r="A2" i="25"/>
  <c r="A1" i="25"/>
  <c r="C41" i="3"/>
  <c r="C20" i="3"/>
  <c r="C40" i="3"/>
  <c r="C14" i="23"/>
  <c r="C13" i="23"/>
  <c r="F23" i="24"/>
  <c r="C23" i="24"/>
  <c r="F22" i="24"/>
  <c r="C22" i="24"/>
  <c r="F21" i="24"/>
  <c r="C21" i="24"/>
  <c r="F20" i="24"/>
  <c r="C20" i="24"/>
  <c r="F19" i="24"/>
  <c r="C19" i="24"/>
  <c r="F18" i="24"/>
  <c r="C18" i="24"/>
  <c r="F17" i="24"/>
  <c r="C17" i="24"/>
  <c r="F16" i="24"/>
  <c r="C16" i="24"/>
  <c r="F15" i="24"/>
  <c r="C15" i="24"/>
  <c r="F14" i="24"/>
  <c r="C14" i="24"/>
  <c r="F13" i="24"/>
  <c r="C13" i="24"/>
  <c r="A3" i="24"/>
  <c r="A2" i="24"/>
  <c r="A1" i="24"/>
  <c r="F23" i="23"/>
  <c r="C23" i="23"/>
  <c r="F22" i="23"/>
  <c r="C22" i="23"/>
  <c r="F21" i="23"/>
  <c r="C21" i="23"/>
  <c r="F20" i="23"/>
  <c r="C20" i="23"/>
  <c r="F19" i="23"/>
  <c r="C19" i="23"/>
  <c r="F18" i="23"/>
  <c r="C18" i="23"/>
  <c r="F17" i="23"/>
  <c r="C17" i="23"/>
  <c r="F16" i="23"/>
  <c r="C16" i="23"/>
  <c r="F15" i="23"/>
  <c r="C15" i="23"/>
  <c r="F14" i="23"/>
  <c r="F13" i="23"/>
  <c r="A3" i="23"/>
  <c r="A2" i="23"/>
  <c r="A1" i="23"/>
  <c r="A3" i="22"/>
  <c r="A2" i="22"/>
  <c r="A1" i="22"/>
  <c r="A3" i="21"/>
  <c r="A2" i="21"/>
  <c r="A1" i="21"/>
  <c r="C19" i="3"/>
  <c r="A3" i="3"/>
  <c r="A2" i="3"/>
  <c r="A1" i="3"/>
  <c r="A3" i="2"/>
  <c r="A2" i="2"/>
  <c r="A1" i="2"/>
</calcChain>
</file>

<file path=xl/sharedStrings.xml><?xml version="1.0" encoding="utf-8"?>
<sst xmlns="http://schemas.openxmlformats.org/spreadsheetml/2006/main" count="425" uniqueCount="146">
  <si>
    <t>Summary</t>
  </si>
  <si>
    <t>Section</t>
  </si>
  <si>
    <t>Description</t>
  </si>
  <si>
    <t>Contained in Workbook</t>
  </si>
  <si>
    <t>Name of External Referenced File</t>
  </si>
  <si>
    <t>Y</t>
  </si>
  <si>
    <t>Product IDs</t>
  </si>
  <si>
    <t>AJ-0269</t>
  </si>
  <si>
    <t>JN-2525</t>
  </si>
  <si>
    <t>VR-5512</t>
  </si>
  <si>
    <t>NR-7470</t>
  </si>
  <si>
    <t>RC-9018</t>
  </si>
  <si>
    <t>MJ-9506</t>
  </si>
  <si>
    <t>AO-2706</t>
  </si>
  <si>
    <t>NB-5160</t>
  </si>
  <si>
    <t>VTYQ-2216</t>
  </si>
  <si>
    <t>Find('-')</t>
  </si>
  <si>
    <t>Length</t>
  </si>
  <si>
    <t>The new set of ID's has a variable structure but the sections of the ID are separated by a '-'. Use the find function to get the 'BBBB x' sections of the product IDs.</t>
  </si>
  <si>
    <t>Phone Numbers</t>
  </si>
  <si>
    <t>(834)133-1776</t>
  </si>
  <si>
    <t>(623)560-7830</t>
  </si>
  <si>
    <t>(220)249-2610</t>
  </si>
  <si>
    <t>(444)698-6184</t>
  </si>
  <si>
    <t>(639)771-1953</t>
  </si>
  <si>
    <t>(761)431-5462</t>
  </si>
  <si>
    <t>(326)681-5891</t>
  </si>
  <si>
    <t>Find(')')</t>
  </si>
  <si>
    <t>Area Code</t>
  </si>
  <si>
    <t>Phone Number Section 1</t>
  </si>
  <si>
    <t>Phone Number Section 2</t>
  </si>
  <si>
    <t>Use the Find, length and right, left, and mid functions to separate the numbers.</t>
  </si>
  <si>
    <t>Find("(")</t>
  </si>
  <si>
    <t>CASTANHAL</t>
  </si>
  <si>
    <t>MANAUS</t>
  </si>
  <si>
    <t>BELÉM</t>
  </si>
  <si>
    <t>FORTALEZA</t>
  </si>
  <si>
    <t>MARANGUAPE</t>
  </si>
  <si>
    <t>JOÃO PESSOA</t>
  </si>
  <si>
    <t>CAMPINA GRANDE</t>
  </si>
  <si>
    <t>NATAL</t>
  </si>
  <si>
    <t>Cities</t>
  </si>
  <si>
    <t>Proper</t>
  </si>
  <si>
    <t>First Name</t>
  </si>
  <si>
    <t>Last Name</t>
  </si>
  <si>
    <t>ERIC</t>
  </si>
  <si>
    <t>JOHNSON</t>
  </si>
  <si>
    <t>JOHN</t>
  </si>
  <si>
    <t>SMITH</t>
  </si>
  <si>
    <t>BETH</t>
  </si>
  <si>
    <t>SUMMERS</t>
  </si>
  <si>
    <t>MILES</t>
  </si>
  <si>
    <t>PETERSON</t>
  </si>
  <si>
    <t>JENNA</t>
  </si>
  <si>
    <t>STONE</t>
  </si>
  <si>
    <t>QUINN</t>
  </si>
  <si>
    <t>COOK</t>
  </si>
  <si>
    <t>Full Name</t>
  </si>
  <si>
    <t xml:space="preserve">Reformat the names into the proper case. Also, concatenate the names into their full names. </t>
  </si>
  <si>
    <t>Date Sold</t>
  </si>
  <si>
    <t>Month Sold</t>
  </si>
  <si>
    <t>Quantity</t>
  </si>
  <si>
    <t>Unit Price</t>
  </si>
  <si>
    <t>Revenue</t>
  </si>
  <si>
    <t>&lt;Date&gt;</t>
  </si>
  <si>
    <t>&lt;Whole Number&gt;</t>
  </si>
  <si>
    <t>&lt;Decimal&gt;</t>
  </si>
  <si>
    <t xml:space="preserve">Use data validation to prevent sales entry errors. </t>
  </si>
  <si>
    <t>Distributor Name</t>
  </si>
  <si>
    <t xml:space="preserve">Product </t>
  </si>
  <si>
    <t>Sales Channel</t>
  </si>
  <si>
    <t>Devin Abbott</t>
  </si>
  <si>
    <t>SUPA105</t>
  </si>
  <si>
    <t>Super Soft Bulk - 2 Litres</t>
  </si>
  <si>
    <t>Online</t>
  </si>
  <si>
    <t>Aphrodite Brennan</t>
  </si>
  <si>
    <t>Direct</t>
  </si>
  <si>
    <t>Guinevere Key</t>
  </si>
  <si>
    <t>Retail</t>
  </si>
  <si>
    <t>Zahir Fields</t>
  </si>
  <si>
    <t>Deacon Craig</t>
  </si>
  <si>
    <t>Brynne Mcgowan</t>
  </si>
  <si>
    <t>Lani Sweet</t>
  </si>
  <si>
    <t>Noble Warner</t>
  </si>
  <si>
    <t>SUPA104</t>
  </si>
  <si>
    <t>Super Soft - 1 Litre</t>
  </si>
  <si>
    <t>DETA800</t>
  </si>
  <si>
    <t>Detafast Stain Remover - 800ml</t>
  </si>
  <si>
    <t>PURA250</t>
  </si>
  <si>
    <t>Pure Soft Detergent - 250ml</t>
  </si>
  <si>
    <t>one hundred ninety nine</t>
  </si>
  <si>
    <t>seventy five</t>
  </si>
  <si>
    <t>Friday Jul 1</t>
  </si>
  <si>
    <t>Jul14</t>
  </si>
  <si>
    <t>15-Jun</t>
  </si>
  <si>
    <t>15-5-2016</t>
  </si>
  <si>
    <t>16-02</t>
  </si>
  <si>
    <t>Tuesday, 14-May</t>
  </si>
  <si>
    <t>&lt;List&gt;</t>
  </si>
  <si>
    <t>&lt;Decimal</t>
  </si>
  <si>
    <t>Salesmen</t>
  </si>
  <si>
    <t>Products</t>
  </si>
  <si>
    <t xml:space="preserve">Now sales need to be recorded. There are 5 products sold by 8 salesmen. However, you can see they enter in data very differently from salesman to salesman. </t>
  </si>
  <si>
    <t>Data Validation prevents or limits the possible entries into Excel. Below is a completed form and needs to be maintained. Use Data Validation to keep data consistent. Recreate the form below using data validation.</t>
  </si>
  <si>
    <t xml:space="preserve">The structure of the ID's is AA-BBBB. Use the 'Right' formula to extract the 'BBBB' sections. </t>
  </si>
  <si>
    <t xml:space="preserve">The structure of the ID's is AA-BBBB. Use the 'Left' formula to extract the 'AA' sections. </t>
  </si>
  <si>
    <t>Data is the heart of data analysis and excel. However, humans are extremely variable. As such, human-entry data is very variable, which causes issues all the time. How do we solve for that?</t>
  </si>
  <si>
    <t>Combined Formula</t>
  </si>
  <si>
    <t>NA</t>
  </si>
  <si>
    <t>Problem 2B - Student Lead</t>
  </si>
  <si>
    <t>Proper and Concatenate</t>
  </si>
  <si>
    <t>Problem 1A - Instructor Lead</t>
  </si>
  <si>
    <t>Problem 1B - Student Lead</t>
  </si>
  <si>
    <t>Right and Left</t>
  </si>
  <si>
    <t>Data Validation</t>
  </si>
  <si>
    <t>Problem 2A - Instructor Lead</t>
  </si>
  <si>
    <t>Problem 1B -Student Lead</t>
  </si>
  <si>
    <t>Brazil</t>
  </si>
  <si>
    <t>South Africa</t>
  </si>
  <si>
    <t>Ceará</t>
  </si>
  <si>
    <t>Country</t>
  </si>
  <si>
    <t>Concatenate</t>
  </si>
  <si>
    <t>Now there are list of clients. The database however stored them all in uppercase. Your clients wants you fix the formatting before sending bills to them.</t>
  </si>
  <si>
    <t>You've been given a list of product IDs. Your client would like you to extract the left section of the IDs.</t>
  </si>
  <si>
    <t>You've been given a list of product IDs. Your client would like you to extract the right section of the IDs.</t>
  </si>
  <si>
    <t>Now there are other ID's that have variable lengths. You did so well with the first set of ID's your client wants you to do more.</t>
  </si>
  <si>
    <t>Now your client gives you a set of phone numbers. The phone numbers are standardized but need to be separated into area codes and phone numbers [(XXX)XXX-XXXX]</t>
  </si>
  <si>
    <t>Now you've been given a long list of cities. However, the cities are in all capital letters. Your client would like properly formatted text.</t>
  </si>
  <si>
    <t>YPX-382</t>
  </si>
  <si>
    <t>X-29</t>
  </si>
  <si>
    <t>ZT-97486</t>
  </si>
  <si>
    <t>LTXT-36166</t>
  </si>
  <si>
    <t>KWU-99</t>
  </si>
  <si>
    <t>VY-205</t>
  </si>
  <si>
    <t>NZX-061</t>
  </si>
  <si>
    <t>Product ID Extracts</t>
  </si>
  <si>
    <t>Product ID Extract</t>
  </si>
  <si>
    <t>With these cities, use the Proper function to transform the city names. Also concatenate the city and the corresponding country using the "City, Country" convention</t>
  </si>
  <si>
    <t xml:space="preserve">Problem Solving with Excel </t>
  </si>
  <si>
    <t>Data Cleansing - Text Functions</t>
  </si>
  <si>
    <t>Week 2</t>
  </si>
  <si>
    <t>Now there are a list of clients. The database, however, stored them all in uppercase. Your clients wants you fix the formatting before sending bills to them.</t>
  </si>
  <si>
    <t>Data is the heart of data analysis and Excel. However, humans are extremely variable. As such, human-entry data is very variable, which causes issues all the time. How do we solve for that?</t>
  </si>
  <si>
    <t>Data Validation prevents or limits the possible entries into Excel. Below is a completed form that needs to be maintained. Use Data Validation to keep data consistent. Recreate the form below using data validation.</t>
  </si>
  <si>
    <t xml:space="preserve">Now sales need to be recorded. There are 5 products sold by 8 sales people. However, you can see they enter-in data very differently from salesperson to salesperson. </t>
  </si>
  <si>
    <t>Find and 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</si>
</sst>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</numFmts>
  <fonts count="37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Arial"/>
      <family val="2"/>
    </font>
    <font>
      <sz val="10"/>
      <color rgb="FF602320"/>
      <name val="Arial"/>
      <family val="2"/>
    </font>
    <font>
      <sz val="10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/>
      <bottom style="thin">
        <color rgb="FF602320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2" fillId="0" borderId="0"/>
  </cellStyleXfs>
  <cellXfs count="37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6" fillId="12" borderId="0" xfId="0" applyFont="1" applyFill="1" applyAlignment="1">
      <alignment vertical="top"/>
    </xf>
    <xf numFmtId="164" fontId="27" fillId="12" borderId="0" xfId="0" applyFont="1" applyFill="1"/>
    <xf numFmtId="0" fontId="28" fillId="0" borderId="0" xfId="30" applyFont="1" applyFill="1" applyBorder="1" applyAlignment="1">
      <alignment horizontal="center" vertical="center" wrapText="1"/>
    </xf>
    <xf numFmtId="0" fontId="25" fillId="13" borderId="0" xfId="0" applyNumberFormat="1" applyFont="1" applyFill="1" applyBorder="1" applyAlignment="1">
      <alignment horizontal="left" wrapText="1"/>
    </xf>
    <xf numFmtId="0" fontId="25" fillId="13" borderId="0" xfId="0" applyNumberFormat="1" applyFont="1" applyFill="1" applyBorder="1" applyAlignment="1">
      <alignment wrapText="1"/>
    </xf>
    <xf numFmtId="3" fontId="25" fillId="13" borderId="0" xfId="0" applyNumberFormat="1" applyFont="1" applyFill="1" applyBorder="1" applyAlignment="1">
      <alignment wrapText="1"/>
    </xf>
    <xf numFmtId="0" fontId="25" fillId="13" borderId="0" xfId="31" applyNumberFormat="1" applyFont="1" applyFill="1" applyBorder="1" applyAlignment="1">
      <alignment wrapText="1"/>
    </xf>
    <xf numFmtId="14" fontId="29" fillId="0" borderId="12" xfId="0" applyNumberFormat="1" applyFont="1" applyBorder="1" applyAlignment="1">
      <alignment horizontal="left"/>
    </xf>
    <xf numFmtId="1" fontId="29" fillId="0" borderId="12" xfId="0" applyNumberFormat="1" applyFont="1" applyBorder="1" applyAlignment="1">
      <alignment horizontal="center"/>
    </xf>
    <xf numFmtId="3" fontId="29" fillId="0" borderId="12" xfId="0" applyNumberFormat="1" applyFont="1" applyBorder="1"/>
    <xf numFmtId="8" fontId="29" fillId="0" borderId="12" xfId="31" applyNumberFormat="1" applyFont="1" applyBorder="1" applyAlignment="1">
      <alignment horizontal="right"/>
    </xf>
    <xf numFmtId="166" fontId="22" fillId="0" borderId="12" xfId="0" applyNumberFormat="1" applyFont="1" applyFill="1" applyBorder="1" applyAlignment="1">
      <alignment horizontal="right"/>
    </xf>
    <xf numFmtId="0" fontId="25" fillId="13" borderId="12" xfId="0" applyNumberFormat="1" applyFont="1" applyFill="1" applyBorder="1" applyAlignment="1">
      <alignment horizontal="left" wrapText="1"/>
    </xf>
    <xf numFmtId="0" fontId="29" fillId="0" borderId="12" xfId="0" applyNumberFormat="1" applyFont="1" applyBorder="1" applyAlignment="1">
      <alignment horizontal="left"/>
    </xf>
    <xf numFmtId="0" fontId="29" fillId="0" borderId="12" xfId="0" applyNumberFormat="1" applyFont="1" applyFill="1" applyBorder="1" applyAlignment="1">
      <alignment horizontal="left"/>
    </xf>
    <xf numFmtId="0" fontId="29" fillId="0" borderId="13" xfId="0" applyNumberFormat="1" applyFont="1" applyBorder="1" applyAlignment="1">
      <alignment horizontal="left"/>
    </xf>
    <xf numFmtId="0" fontId="29" fillId="12" borderId="12" xfId="0" applyNumberFormat="1" applyFont="1" applyFill="1" applyBorder="1" applyAlignment="1">
      <alignment horizontal="left"/>
    </xf>
    <xf numFmtId="14" fontId="29" fillId="0" borderId="12" xfId="0" quotePrefix="1" applyNumberFormat="1" applyFont="1" applyBorder="1" applyAlignment="1">
      <alignment horizontal="left"/>
    </xf>
    <xf numFmtId="7" fontId="22" fillId="0" borderId="12" xfId="0" applyNumberFormat="1" applyFont="1" applyFill="1" applyBorder="1" applyAlignment="1">
      <alignment horizontal="right"/>
    </xf>
    <xf numFmtId="164" fontId="30" fillId="0" borderId="0" xfId="0" applyFont="1"/>
    <xf numFmtId="49" fontId="16" fillId="0" borderId="6" xfId="3" applyFont="1">
      <alignment horizontal="right" wrapText="1"/>
    </xf>
    <xf numFmtId="43" fontId="31" fillId="0" borderId="15" xfId="32" applyFont="1" applyBorder="1" applyAlignment="1">
      <alignment horizontal="left"/>
    </xf>
    <xf numFmtId="43" fontId="31" fillId="0" borderId="15" xfId="32" applyFont="1" applyBorder="1" applyAlignment="1">
      <alignment horizontal="center"/>
    </xf>
    <xf numFmtId="0" fontId="16" fillId="11" borderId="14" xfId="3" applyNumberFormat="1" applyFont="1" applyFill="1" applyBorder="1" applyAlignment="1">
      <alignment horizontal="center" wrapText="1"/>
    </xf>
    <xf numFmtId="0" fontId="16" fillId="11" borderId="15" xfId="3" applyNumberFormat="1" applyFont="1" applyFill="1" applyBorder="1" applyAlignment="1">
      <alignment horizontal="center" wrapText="1"/>
    </xf>
    <xf numFmtId="49" fontId="16" fillId="0" borderId="6" xfId="3" applyFont="1" applyAlignment="1">
      <alignment horizontal="center" wrapText="1"/>
    </xf>
    <xf numFmtId="164" fontId="33" fillId="14" borderId="16" xfId="0" applyNumberFormat="1" applyFont="1" applyFill="1" applyBorder="1" applyAlignment="1">
      <alignment horizontal="left" vertical="top"/>
    </xf>
    <xf numFmtId="164" fontId="35" fillId="0" borderId="11" xfId="0" applyFont="1" applyBorder="1" applyAlignment="1">
      <alignment vertical="center"/>
    </xf>
    <xf numFmtId="0" fontId="34" fillId="15" borderId="0" xfId="31" applyNumberFormat="1" applyFont="1" applyFill="1" applyBorder="1" applyAlignment="1">
      <alignment horizontal="right" vertical="top"/>
    </xf>
    <xf numFmtId="0" fontId="22" fillId="0" borderId="0" xfId="30" applyAlignment="1">
      <alignment wrapText="1"/>
    </xf>
    <xf numFmtId="164" fontId="33" fillId="14" borderId="16" xfId="0" applyNumberFormat="1" applyFont="1" applyFill="1" applyBorder="1" applyAlignment="1">
      <alignment horizontal="left" vertical="center" wrapText="1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2" builtinId="3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rmal 3" xfId="33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6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20</xdr:row>
          <xdr:rowOff>107950</xdr:rowOff>
        </xdr:from>
        <xdr:to>
          <xdr:col>2</xdr:col>
          <xdr:colOff>431800</xdr:colOff>
          <xdr:row>23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34</xdr:row>
          <xdr:rowOff>12700</xdr:rowOff>
        </xdr:from>
        <xdr:to>
          <xdr:col>4</xdr:col>
          <xdr:colOff>793750</xdr:colOff>
          <xdr:row>37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12</xdr:row>
          <xdr:rowOff>107950</xdr:rowOff>
        </xdr:from>
        <xdr:to>
          <xdr:col>4</xdr:col>
          <xdr:colOff>838200</xdr:colOff>
          <xdr:row>15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488950</xdr:colOff>
          <xdr:row>33</xdr:row>
          <xdr:rowOff>107950</xdr:rowOff>
        </xdr:from>
        <xdr:to>
          <xdr:col>4</xdr:col>
          <xdr:colOff>793750</xdr:colOff>
          <xdr:row>36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16</xdr:row>
          <xdr:rowOff>76200</xdr:rowOff>
        </xdr:from>
        <xdr:to>
          <xdr:col>7</xdr:col>
          <xdr:colOff>965200</xdr:colOff>
          <xdr:row>20</xdr:row>
          <xdr:rowOff>88900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546100</xdr:colOff>
          <xdr:row>33</xdr:row>
          <xdr:rowOff>298450</xdr:rowOff>
        </xdr:from>
        <xdr:to>
          <xdr:col>14</xdr:col>
          <xdr:colOff>88900</xdr:colOff>
          <xdr:row>36</xdr:row>
          <xdr:rowOff>450850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355600</xdr:colOff>
          <xdr:row>13</xdr:row>
          <xdr:rowOff>38100</xdr:rowOff>
        </xdr:from>
        <xdr:to>
          <xdr:col>7</xdr:col>
          <xdr:colOff>679450</xdr:colOff>
          <xdr:row>16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51</xdr:row>
          <xdr:rowOff>184150</xdr:rowOff>
        </xdr:from>
        <xdr:to>
          <xdr:col>11</xdr:col>
          <xdr:colOff>298450</xdr:colOff>
          <xdr:row>54</xdr:row>
          <xdr:rowOff>69850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20</xdr:row>
          <xdr:rowOff>146050</xdr:rowOff>
        </xdr:from>
        <xdr:to>
          <xdr:col>2</xdr:col>
          <xdr:colOff>565150</xdr:colOff>
          <xdr:row>24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222250</xdr:colOff>
          <xdr:row>32</xdr:row>
          <xdr:rowOff>31750</xdr:rowOff>
        </xdr:from>
        <xdr:to>
          <xdr:col>7</xdr:col>
          <xdr:colOff>527050</xdr:colOff>
          <xdr:row>35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20</xdr:row>
          <xdr:rowOff>76200</xdr:rowOff>
        </xdr:from>
        <xdr:to>
          <xdr:col>2</xdr:col>
          <xdr:colOff>336550</xdr:colOff>
          <xdr:row>23</xdr:row>
          <xdr:rowOff>127000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336550</xdr:colOff>
          <xdr:row>32</xdr:row>
          <xdr:rowOff>12700</xdr:rowOff>
        </xdr:from>
        <xdr:to>
          <xdr:col>7</xdr:col>
          <xdr:colOff>641350</xdr:colOff>
          <xdr:row>35</xdr:row>
          <xdr:rowOff>50800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565150</xdr:colOff>
          <xdr:row>25</xdr:row>
          <xdr:rowOff>152400</xdr:rowOff>
        </xdr:from>
        <xdr:to>
          <xdr:col>7</xdr:col>
          <xdr:colOff>488950</xdr:colOff>
          <xdr:row>29</xdr:row>
          <xdr:rowOff>31750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47</xdr:row>
          <xdr:rowOff>69850</xdr:rowOff>
        </xdr:from>
        <xdr:to>
          <xdr:col>10</xdr:col>
          <xdr:colOff>146050</xdr:colOff>
          <xdr:row>50</xdr:row>
          <xdr:rowOff>107950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679450</xdr:colOff>
          <xdr:row>22</xdr:row>
          <xdr:rowOff>12700</xdr:rowOff>
        </xdr:from>
        <xdr:to>
          <xdr:col>7</xdr:col>
          <xdr:colOff>603250</xdr:colOff>
          <xdr:row>25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49</xdr:row>
          <xdr:rowOff>146050</xdr:rowOff>
        </xdr:from>
        <xdr:to>
          <xdr:col>10</xdr:col>
          <xdr:colOff>146050</xdr:colOff>
          <xdr:row>53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tabSelected="1" workbookViewId="0">
      <selection activeCell="G2" sqref="G2"/>
    </sheetView>
  </sheetViews>
  <sheetFormatPr defaultColWidth="9" defaultRowHeight="12" x14ac:dyDescent="0.3"/>
  <sheetData>
    <row r="1" spans="1:1" ht="18.5" x14ac:dyDescent="0.45">
      <c r="A1" s="1" t="s">
        <v>138</v>
      </c>
    </row>
    <row r="2" spans="1:1" ht="18.5" x14ac:dyDescent="0.45">
      <c r="A2" s="1" t="s">
        <v>140</v>
      </c>
    </row>
    <row r="3" spans="1:1" ht="18.5" x14ac:dyDescent="0.45">
      <c r="A3" s="1" t="s">
        <v>139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showGridLines="0" zoomScale="86" workbookViewId="0">
      <selection activeCell="D2" sqref="D2"/>
    </sheetView>
  </sheetViews>
  <sheetFormatPr defaultColWidth="9.33203125" defaultRowHeight="12.5" x14ac:dyDescent="0.25"/>
  <cols>
    <col min="1" max="1" width="9.33203125" style="2"/>
    <col min="2" max="2" width="10.77734375" style="2" bestFit="1" customWidth="1"/>
    <col min="3" max="3" width="34.33203125" style="2" customWidth="1"/>
    <col min="4" max="4" width="29" style="2" bestFit="1" customWidth="1"/>
    <col min="5" max="5" width="40.77734375" style="2" customWidth="1"/>
    <col min="6" max="16384" width="9.33203125" style="2"/>
  </cols>
  <sheetData>
    <row r="1" spans="1:5" ht="13" x14ac:dyDescent="0.3">
      <c r="A1" s="3" t="str">
        <f>Introduction!A1</f>
        <v xml:space="preserve">Problem Solving with Excel </v>
      </c>
    </row>
    <row r="2" spans="1:5" ht="13" x14ac:dyDescent="0.3">
      <c r="A2" s="3" t="str">
        <f>Introduction!A2</f>
        <v>Week 2</v>
      </c>
    </row>
    <row r="3" spans="1:5" ht="13" x14ac:dyDescent="0.3">
      <c r="A3" s="3" t="str">
        <f>Introduction!A3</f>
        <v>Data Cleansing - Text Functions</v>
      </c>
    </row>
    <row r="4" spans="1:5" ht="13" x14ac:dyDescent="0.3">
      <c r="A4" s="3" t="s">
        <v>0</v>
      </c>
    </row>
    <row r="7" spans="1:5" ht="13.5" thickBot="1" x14ac:dyDescent="0.35">
      <c r="B7" s="26" t="s">
        <v>1</v>
      </c>
      <c r="C7" s="31" t="s">
        <v>2</v>
      </c>
      <c r="D7" s="26" t="s">
        <v>3</v>
      </c>
      <c r="E7" s="26" t="s">
        <v>4</v>
      </c>
    </row>
    <row r="8" spans="1:5" ht="13" x14ac:dyDescent="0.3">
      <c r="B8" s="29">
        <v>1</v>
      </c>
      <c r="C8" s="27" t="s">
        <v>113</v>
      </c>
      <c r="D8" s="28" t="s">
        <v>5</v>
      </c>
      <c r="E8" s="28" t="s">
        <v>108</v>
      </c>
    </row>
    <row r="9" spans="1:5" ht="13" x14ac:dyDescent="0.3">
      <c r="B9" s="30">
        <v>2</v>
      </c>
      <c r="C9" s="27" t="s">
        <v>145</v>
      </c>
      <c r="D9" s="28" t="s">
        <v>5</v>
      </c>
      <c r="E9" s="28" t="s">
        <v>108</v>
      </c>
    </row>
    <row r="10" spans="1:5" ht="13" x14ac:dyDescent="0.3">
      <c r="B10" s="30">
        <v>3</v>
      </c>
      <c r="C10" s="27" t="s">
        <v>110</v>
      </c>
      <c r="D10" s="28" t="s">
        <v>5</v>
      </c>
      <c r="E10" s="28" t="s">
        <v>108</v>
      </c>
    </row>
    <row r="11" spans="1:5" ht="13" x14ac:dyDescent="0.3">
      <c r="B11" s="30">
        <v>4</v>
      </c>
      <c r="C11" s="27" t="s">
        <v>114</v>
      </c>
      <c r="D11" s="28" t="s">
        <v>5</v>
      </c>
      <c r="E11" s="28" t="s">
        <v>108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61"/>
  <sheetViews>
    <sheetView showGridLines="0" zoomScale="80" workbookViewId="0">
      <selection activeCell="G1" sqref="G1"/>
    </sheetView>
  </sheetViews>
  <sheetFormatPr defaultColWidth="9.33203125" defaultRowHeight="12.5" outlineLevelRow="1" x14ac:dyDescent="0.25"/>
  <cols>
    <col min="1" max="1" width="9.33203125" style="2"/>
    <col min="2" max="8" width="24.77734375" style="2" customWidth="1"/>
    <col min="9" max="9" width="10.6640625" style="2" customWidth="1"/>
    <col min="10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hidden="1" outlineLevel="1" x14ac:dyDescent="0.25"/>
    <row r="9" spans="1:16" hidden="1" outlineLevel="1" x14ac:dyDescent="0.25">
      <c r="B9" s="2" t="s">
        <v>124</v>
      </c>
    </row>
    <row r="10" spans="1:16" hidden="1" outlineLevel="1" x14ac:dyDescent="0.25">
      <c r="B10" s="2" t="s">
        <v>104</v>
      </c>
    </row>
    <row r="11" spans="1:16" hidden="1" outlineLevel="1" x14ac:dyDescent="0.25"/>
    <row r="12" spans="1:16" ht="13" hidden="1" outlineLevel="1" x14ac:dyDescent="0.25">
      <c r="B12" s="32" t="s">
        <v>6</v>
      </c>
      <c r="C12" s="32" t="s">
        <v>135</v>
      </c>
    </row>
    <row r="13" spans="1:16" ht="13" hidden="1" outlineLevel="1" x14ac:dyDescent="0.25">
      <c r="B13" s="33" t="s">
        <v>7</v>
      </c>
      <c r="C13" s="34"/>
    </row>
    <row r="14" spans="1:16" ht="13" hidden="1" outlineLevel="1" x14ac:dyDescent="0.25">
      <c r="B14" s="33" t="s">
        <v>8</v>
      </c>
      <c r="C14" s="34"/>
    </row>
    <row r="15" spans="1:16" ht="13" hidden="1" outlineLevel="1" x14ac:dyDescent="0.25">
      <c r="B15" s="33" t="s">
        <v>9</v>
      </c>
      <c r="C15" s="34"/>
    </row>
    <row r="16" spans="1:16" ht="13" hidden="1" outlineLevel="1" x14ac:dyDescent="0.25">
      <c r="B16" s="33" t="s">
        <v>10</v>
      </c>
      <c r="C16" s="34"/>
    </row>
    <row r="17" spans="2:3" ht="13" hidden="1" outlineLevel="1" x14ac:dyDescent="0.25">
      <c r="B17" s="33" t="s">
        <v>11</v>
      </c>
      <c r="C17" s="34"/>
    </row>
    <row r="18" spans="2:3" ht="13" hidden="1" outlineLevel="1" x14ac:dyDescent="0.25">
      <c r="B18" s="33" t="s">
        <v>12</v>
      </c>
      <c r="C18" s="34"/>
    </row>
    <row r="19" spans="2:3" ht="13" hidden="1" outlineLevel="1" x14ac:dyDescent="0.25">
      <c r="B19" s="33" t="s">
        <v>13</v>
      </c>
      <c r="C19" s="34" t="str">
        <f>CLEAN(B21)</f>
        <v/>
      </c>
    </row>
    <row r="20" spans="2:3" ht="13" hidden="1" outlineLevel="1" x14ac:dyDescent="0.25">
      <c r="B20" s="33" t="s">
        <v>14</v>
      </c>
      <c r="C20" s="34" t="str">
        <f>CLEAN(B22)</f>
        <v/>
      </c>
    </row>
    <row r="21" spans="2:3" hidden="1" outlineLevel="1" x14ac:dyDescent="0.25"/>
    <row r="22" spans="2:3" ht="13" hidden="1" outlineLevel="1" x14ac:dyDescent="0.3">
      <c r="B22"/>
    </row>
    <row r="23" spans="2:3" hidden="1" outlineLevel="1" x14ac:dyDescent="0.25"/>
    <row r="24" spans="2:3" hidden="1" outlineLevel="1" x14ac:dyDescent="0.25"/>
    <row r="25" spans="2:3" hidden="1" outlineLevel="1" x14ac:dyDescent="0.25"/>
    <row r="26" spans="2:3" hidden="1" outlineLevel="1" x14ac:dyDescent="0.25"/>
    <row r="27" spans="2:3" hidden="1" outlineLevel="1" x14ac:dyDescent="0.25"/>
    <row r="28" spans="2:3" ht="18.5" collapsed="1" x14ac:dyDescent="0.45">
      <c r="B28" s="4" t="s">
        <v>112</v>
      </c>
    </row>
    <row r="29" spans="2:3" hidden="1" outlineLevel="1" x14ac:dyDescent="0.25"/>
    <row r="30" spans="2:3" hidden="1" outlineLevel="1" x14ac:dyDescent="0.25">
      <c r="B30" s="2" t="s">
        <v>123</v>
      </c>
    </row>
    <row r="31" spans="2:3" hidden="1" outlineLevel="1" x14ac:dyDescent="0.25">
      <c r="B31" s="2" t="s">
        <v>105</v>
      </c>
    </row>
    <row r="32" spans="2:3" hidden="1" outlineLevel="1" x14ac:dyDescent="0.25"/>
    <row r="33" spans="2:3" ht="13" hidden="1" outlineLevel="1" x14ac:dyDescent="0.25">
      <c r="B33" s="32" t="s">
        <v>6</v>
      </c>
      <c r="C33" s="32" t="s">
        <v>135</v>
      </c>
    </row>
    <row r="34" spans="2:3" ht="13" hidden="1" outlineLevel="1" x14ac:dyDescent="0.25">
      <c r="B34" s="33" t="s">
        <v>7</v>
      </c>
      <c r="C34" s="34"/>
    </row>
    <row r="35" spans="2:3" ht="13" hidden="1" outlineLevel="1" x14ac:dyDescent="0.25">
      <c r="B35" s="33" t="s">
        <v>8</v>
      </c>
      <c r="C35" s="34"/>
    </row>
    <row r="36" spans="2:3" ht="13" hidden="1" outlineLevel="1" x14ac:dyDescent="0.25">
      <c r="B36" s="33" t="s">
        <v>9</v>
      </c>
      <c r="C36" s="34"/>
    </row>
    <row r="37" spans="2:3" ht="13" hidden="1" outlineLevel="1" x14ac:dyDescent="0.25">
      <c r="B37" s="33" t="s">
        <v>10</v>
      </c>
      <c r="C37" s="34"/>
    </row>
    <row r="38" spans="2:3" ht="13" hidden="1" outlineLevel="1" x14ac:dyDescent="0.25">
      <c r="B38" s="33" t="s">
        <v>11</v>
      </c>
      <c r="C38" s="34"/>
    </row>
    <row r="39" spans="2:3" ht="13" hidden="1" outlineLevel="1" x14ac:dyDescent="0.25">
      <c r="B39" s="33" t="s">
        <v>12</v>
      </c>
      <c r="C39" s="34"/>
    </row>
    <row r="40" spans="2:3" ht="13" hidden="1" outlineLevel="1" x14ac:dyDescent="0.25">
      <c r="B40" s="33" t="s">
        <v>13</v>
      </c>
      <c r="C40" s="34" t="str">
        <f>CLEAN(B42)</f>
        <v/>
      </c>
    </row>
    <row r="41" spans="2:3" ht="13" hidden="1" outlineLevel="1" x14ac:dyDescent="0.25">
      <c r="B41" s="33" t="s">
        <v>14</v>
      </c>
      <c r="C41" s="34" t="str">
        <f>CLEAN(B43)</f>
        <v/>
      </c>
    </row>
    <row r="42" spans="2:3" collapsed="1" x14ac:dyDescent="0.25"/>
    <row r="61" spans="2:2" ht="18.5" x14ac:dyDescent="0.45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ight_Send_To_1A">
                <anchor moveWithCells="1" sizeWithCells="1">
                  <from>
                    <xdr:col>1</xdr:col>
                    <xdr:colOff>114300</xdr:colOff>
                    <xdr:row>20</xdr:row>
                    <xdr:rowOff>107950</xdr:rowOff>
                  </from>
                  <to>
                    <xdr:col>2</xdr:col>
                    <xdr:colOff>431800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ight_Send_To_1B">
                <anchor moveWithCells="1" sizeWithCells="1">
                  <from>
                    <xdr:col>3</xdr:col>
                    <xdr:colOff>488950</xdr:colOff>
                    <xdr:row>34</xdr:row>
                    <xdr:rowOff>12700</xdr:rowOff>
                  </from>
                  <to>
                    <xdr:col>4</xdr:col>
                    <xdr:colOff>793750</xdr:colOff>
                    <xdr:row>37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5"/>
  </sheetPr>
  <dimension ref="A1:P61"/>
  <sheetViews>
    <sheetView showGridLines="0" zoomScale="80" workbookViewId="0">
      <selection activeCell="D33" sqref="D33"/>
    </sheetView>
  </sheetViews>
  <sheetFormatPr defaultColWidth="9.33203125" defaultRowHeight="12.5" outlineLevelRow="1" x14ac:dyDescent="0.25"/>
  <cols>
    <col min="1" max="1" width="9.33203125" style="2"/>
    <col min="2" max="8" width="24.77734375" style="2" customWidth="1"/>
    <col min="9" max="10" width="10.6640625" style="2" customWidth="1"/>
    <col min="11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outlineLevel="1" x14ac:dyDescent="0.25"/>
    <row r="9" spans="1:16" outlineLevel="1" x14ac:dyDescent="0.25">
      <c r="B9" s="2" t="s">
        <v>124</v>
      </c>
    </row>
    <row r="10" spans="1:16" outlineLevel="1" x14ac:dyDescent="0.25">
      <c r="B10" s="2" t="s">
        <v>104</v>
      </c>
    </row>
    <row r="11" spans="1:16" outlineLevel="1" x14ac:dyDescent="0.25"/>
    <row r="12" spans="1:16" ht="13" outlineLevel="1" x14ac:dyDescent="0.25">
      <c r="B12" s="32" t="s">
        <v>6</v>
      </c>
      <c r="C12" s="32" t="s">
        <v>135</v>
      </c>
    </row>
    <row r="13" spans="1:16" ht="13" outlineLevel="1" x14ac:dyDescent="0.25">
      <c r="B13" s="33" t="s">
        <v>7</v>
      </c>
      <c r="C13" s="34" t="str">
        <f t="shared" ref="C13:C20" si="0">RIGHT(B13,4)</f>
        <v>0269</v>
      </c>
    </row>
    <row r="14" spans="1:16" ht="13" outlineLevel="1" x14ac:dyDescent="0.25">
      <c r="B14" s="33" t="s">
        <v>8</v>
      </c>
      <c r="C14" s="34" t="str">
        <f t="shared" si="0"/>
        <v>2525</v>
      </c>
    </row>
    <row r="15" spans="1:16" ht="13" outlineLevel="1" x14ac:dyDescent="0.25">
      <c r="B15" s="33" t="s">
        <v>9</v>
      </c>
      <c r="C15" s="34" t="str">
        <f t="shared" si="0"/>
        <v>5512</v>
      </c>
    </row>
    <row r="16" spans="1:16" ht="13" outlineLevel="1" x14ac:dyDescent="0.25">
      <c r="B16" s="33" t="s">
        <v>10</v>
      </c>
      <c r="C16" s="34" t="str">
        <f t="shared" si="0"/>
        <v>7470</v>
      </c>
    </row>
    <row r="17" spans="2:3" ht="13" outlineLevel="1" x14ac:dyDescent="0.25">
      <c r="B17" s="33" t="s">
        <v>11</v>
      </c>
      <c r="C17" s="34" t="str">
        <f t="shared" si="0"/>
        <v>9018</v>
      </c>
    </row>
    <row r="18" spans="2:3" ht="13" outlineLevel="1" x14ac:dyDescent="0.25">
      <c r="B18" s="33" t="s">
        <v>12</v>
      </c>
      <c r="C18" s="34" t="str">
        <f t="shared" si="0"/>
        <v>9506</v>
      </c>
    </row>
    <row r="19" spans="2:3" ht="13" outlineLevel="1" x14ac:dyDescent="0.25">
      <c r="B19" s="33" t="s">
        <v>13</v>
      </c>
      <c r="C19" s="34" t="str">
        <f t="shared" si="0"/>
        <v>2706</v>
      </c>
    </row>
    <row r="20" spans="2:3" ht="13" outlineLevel="1" x14ac:dyDescent="0.25">
      <c r="B20" s="33" t="s">
        <v>14</v>
      </c>
      <c r="C20" s="34" t="str">
        <f t="shared" si="0"/>
        <v>5160</v>
      </c>
    </row>
    <row r="21" spans="2:3" outlineLevel="1" x14ac:dyDescent="0.25"/>
    <row r="22" spans="2:3" ht="13" outlineLevel="1" x14ac:dyDescent="0.3">
      <c r="B22"/>
    </row>
    <row r="23" spans="2:3" outlineLevel="1" x14ac:dyDescent="0.25"/>
    <row r="24" spans="2:3" outlineLevel="1" x14ac:dyDescent="0.25"/>
    <row r="25" spans="2:3" outlineLevel="1" x14ac:dyDescent="0.25"/>
    <row r="26" spans="2:3" outlineLevel="1" x14ac:dyDescent="0.25"/>
    <row r="27" spans="2:3" outlineLevel="1" x14ac:dyDescent="0.25"/>
    <row r="28" spans="2:3" ht="18.5" x14ac:dyDescent="0.45">
      <c r="B28" s="4" t="s">
        <v>112</v>
      </c>
    </row>
    <row r="29" spans="2:3" outlineLevel="1" x14ac:dyDescent="0.25"/>
    <row r="30" spans="2:3" outlineLevel="1" x14ac:dyDescent="0.25">
      <c r="B30" s="2" t="s">
        <v>123</v>
      </c>
    </row>
    <row r="31" spans="2:3" outlineLevel="1" x14ac:dyDescent="0.25">
      <c r="B31" s="2" t="s">
        <v>105</v>
      </c>
    </row>
    <row r="32" spans="2:3" outlineLevel="1" x14ac:dyDescent="0.25"/>
    <row r="33" spans="2:3" ht="13" outlineLevel="1" x14ac:dyDescent="0.25">
      <c r="B33" s="32" t="s">
        <v>6</v>
      </c>
      <c r="C33" s="32" t="s">
        <v>135</v>
      </c>
    </row>
    <row r="34" spans="2:3" ht="13" outlineLevel="1" x14ac:dyDescent="0.25">
      <c r="B34" s="33" t="s">
        <v>7</v>
      </c>
      <c r="C34" s="34" t="str">
        <f t="shared" ref="C34:C41" si="1">LEFT(B34,2)</f>
        <v>AJ</v>
      </c>
    </row>
    <row r="35" spans="2:3" ht="13" outlineLevel="1" x14ac:dyDescent="0.25">
      <c r="B35" s="33" t="s">
        <v>8</v>
      </c>
      <c r="C35" s="34" t="str">
        <f t="shared" si="1"/>
        <v>JN</v>
      </c>
    </row>
    <row r="36" spans="2:3" ht="13" outlineLevel="1" x14ac:dyDescent="0.25">
      <c r="B36" s="33" t="s">
        <v>9</v>
      </c>
      <c r="C36" s="34" t="str">
        <f t="shared" si="1"/>
        <v>VR</v>
      </c>
    </row>
    <row r="37" spans="2:3" ht="13" outlineLevel="1" x14ac:dyDescent="0.25">
      <c r="B37" s="33" t="s">
        <v>10</v>
      </c>
      <c r="C37" s="34" t="str">
        <f t="shared" si="1"/>
        <v>NR</v>
      </c>
    </row>
    <row r="38" spans="2:3" ht="13" outlineLevel="1" x14ac:dyDescent="0.25">
      <c r="B38" s="33" t="s">
        <v>11</v>
      </c>
      <c r="C38" s="34" t="str">
        <f t="shared" si="1"/>
        <v>RC</v>
      </c>
    </row>
    <row r="39" spans="2:3" ht="13" outlineLevel="1" x14ac:dyDescent="0.25">
      <c r="B39" s="33" t="s">
        <v>12</v>
      </c>
      <c r="C39" s="34" t="str">
        <f t="shared" si="1"/>
        <v>MJ</v>
      </c>
    </row>
    <row r="40" spans="2:3" ht="13" outlineLevel="1" x14ac:dyDescent="0.25">
      <c r="B40" s="33" t="s">
        <v>13</v>
      </c>
      <c r="C40" s="34" t="str">
        <f t="shared" si="1"/>
        <v>AO</v>
      </c>
    </row>
    <row r="41" spans="2:3" ht="13" outlineLevel="1" x14ac:dyDescent="0.25">
      <c r="B41" s="33" t="s">
        <v>14</v>
      </c>
      <c r="C41" s="34" t="str">
        <f t="shared" si="1"/>
        <v>NB</v>
      </c>
    </row>
    <row r="61" spans="2:2" ht="18.5" x14ac:dyDescent="0.45">
      <c r="B61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Right_Instruction_Send_To_1A">
                <anchor moveWithCells="1" sizeWithCells="1">
                  <from>
                    <xdr:col>3</xdr:col>
                    <xdr:colOff>533400</xdr:colOff>
                    <xdr:row>12</xdr:row>
                    <xdr:rowOff>107950</xdr:rowOff>
                  </from>
                  <to>
                    <xdr:col>4</xdr:col>
                    <xdr:colOff>838200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Right_Instruction_Send_To_1B">
                <anchor moveWithCells="1" sizeWithCells="1">
                  <from>
                    <xdr:col>3</xdr:col>
                    <xdr:colOff>488950</xdr:colOff>
                    <xdr:row>33</xdr:row>
                    <xdr:rowOff>107950</xdr:rowOff>
                  </from>
                  <to>
                    <xdr:col>4</xdr:col>
                    <xdr:colOff>793750</xdr:colOff>
                    <xdr:row>36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61"/>
  <sheetViews>
    <sheetView showGridLines="0" zoomScale="80" workbookViewId="0">
      <selection activeCell="D2" sqref="D2"/>
    </sheetView>
  </sheetViews>
  <sheetFormatPr defaultColWidth="9.33203125" defaultRowHeight="12.5" outlineLevelRow="1" x14ac:dyDescent="0.25"/>
  <cols>
    <col min="1" max="1" width="9.33203125" style="2"/>
    <col min="2" max="8" width="24.6640625" style="2" customWidth="1"/>
    <col min="9" max="9" width="10.77734375" style="2" customWidth="1"/>
    <col min="10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6" spans="1:16" ht="13" x14ac:dyDescent="0.3">
      <c r="B6" s="7"/>
    </row>
    <row r="8" spans="1:16" hidden="1" outlineLevel="1" x14ac:dyDescent="0.25"/>
    <row r="9" spans="1:16" ht="18.5" hidden="1" outlineLevel="1" x14ac:dyDescent="0.45">
      <c r="B9" s="4" t="s">
        <v>115</v>
      </c>
    </row>
    <row r="10" spans="1:16" ht="18.5" hidden="1" outlineLevel="1" x14ac:dyDescent="0.45">
      <c r="B10" s="4"/>
    </row>
    <row r="11" spans="1:16" hidden="1" outlineLevel="1" x14ac:dyDescent="0.25">
      <c r="B11" s="2" t="s">
        <v>125</v>
      </c>
    </row>
    <row r="12" spans="1:16" hidden="1" outlineLevel="1" x14ac:dyDescent="0.25">
      <c r="B12" s="2" t="s">
        <v>18</v>
      </c>
    </row>
    <row r="13" spans="1:16" hidden="1" outlineLevel="1" x14ac:dyDescent="0.25"/>
    <row r="14" spans="1:16" ht="13" hidden="1" outlineLevel="1" x14ac:dyDescent="0.25">
      <c r="B14" s="32" t="s">
        <v>6</v>
      </c>
      <c r="C14" s="32" t="s">
        <v>16</v>
      </c>
      <c r="D14" s="32" t="s">
        <v>17</v>
      </c>
      <c r="E14" s="32" t="s">
        <v>136</v>
      </c>
      <c r="F14" s="32" t="s">
        <v>107</v>
      </c>
    </row>
    <row r="15" spans="1:16" ht="13" hidden="1" outlineLevel="1" x14ac:dyDescent="0.25">
      <c r="B15" s="33" t="s">
        <v>15</v>
      </c>
      <c r="C15" s="34"/>
      <c r="D15" s="34"/>
      <c r="E15" s="34"/>
      <c r="F15" s="34"/>
    </row>
    <row r="16" spans="1:16" ht="13" hidden="1" outlineLevel="1" x14ac:dyDescent="0.25">
      <c r="B16" s="33" t="s">
        <v>128</v>
      </c>
      <c r="C16" s="34"/>
      <c r="D16" s="34"/>
      <c r="E16" s="34"/>
      <c r="F16" s="34"/>
    </row>
    <row r="17" spans="2:6" ht="13" hidden="1" outlineLevel="1" x14ac:dyDescent="0.25">
      <c r="B17" s="33" t="s">
        <v>129</v>
      </c>
      <c r="C17" s="34"/>
      <c r="D17" s="34"/>
      <c r="E17" s="34"/>
      <c r="F17" s="34"/>
    </row>
    <row r="18" spans="2:6" ht="13" hidden="1" outlineLevel="1" x14ac:dyDescent="0.25">
      <c r="B18" s="33" t="s">
        <v>130</v>
      </c>
      <c r="C18" s="34"/>
      <c r="D18" s="34"/>
      <c r="E18" s="34"/>
      <c r="F18" s="34"/>
    </row>
    <row r="19" spans="2:6" ht="13" hidden="1" outlineLevel="1" x14ac:dyDescent="0.25">
      <c r="B19" s="33" t="s">
        <v>131</v>
      </c>
      <c r="C19" s="34"/>
      <c r="D19" s="34"/>
      <c r="E19" s="34"/>
      <c r="F19" s="34"/>
    </row>
    <row r="20" spans="2:6" ht="13" hidden="1" outlineLevel="1" x14ac:dyDescent="0.25">
      <c r="B20" s="33" t="s">
        <v>132</v>
      </c>
      <c r="C20" s="34"/>
      <c r="D20" s="34"/>
      <c r="E20" s="34"/>
      <c r="F20" s="34"/>
    </row>
    <row r="21" spans="2:6" ht="13" hidden="1" outlineLevel="1" x14ac:dyDescent="0.25">
      <c r="B21" s="33" t="s">
        <v>133</v>
      </c>
      <c r="C21" s="34"/>
      <c r="D21" s="34"/>
      <c r="E21" s="34"/>
      <c r="F21" s="34"/>
    </row>
    <row r="22" spans="2:6" ht="13" hidden="1" outlineLevel="1" x14ac:dyDescent="0.25">
      <c r="B22" s="33" t="s">
        <v>134</v>
      </c>
      <c r="C22" s="34"/>
      <c r="D22" s="34"/>
      <c r="E22" s="34"/>
      <c r="F22" s="34"/>
    </row>
    <row r="23" spans="2:6" hidden="1" outlineLevel="1" x14ac:dyDescent="0.25"/>
    <row r="24" spans="2:6" hidden="1" outlineLevel="1" x14ac:dyDescent="0.25"/>
    <row r="25" spans="2:6" ht="13" hidden="1" outlineLevel="1" x14ac:dyDescent="0.25">
      <c r="B25" s="6"/>
    </row>
    <row r="26" spans="2:6" ht="13" hidden="1" outlineLevel="1" x14ac:dyDescent="0.3">
      <c r="B26" s="7"/>
    </row>
    <row r="27" spans="2:6" collapsed="1" x14ac:dyDescent="0.25"/>
    <row r="28" spans="2:6" hidden="1" outlineLevel="1" x14ac:dyDescent="0.25"/>
    <row r="29" spans="2:6" hidden="1" outlineLevel="1" x14ac:dyDescent="0.25"/>
    <row r="30" spans="2:6" ht="18.5" hidden="1" outlineLevel="1" x14ac:dyDescent="0.45">
      <c r="B30" s="4" t="s">
        <v>109</v>
      </c>
    </row>
    <row r="31" spans="2:6" hidden="1" outlineLevel="1" x14ac:dyDescent="0.25">
      <c r="B31" s="2" t="s">
        <v>126</v>
      </c>
    </row>
    <row r="32" spans="2:6" hidden="1" outlineLevel="1" x14ac:dyDescent="0.25">
      <c r="B32" s="2" t="s">
        <v>31</v>
      </c>
    </row>
    <row r="33" spans="1:11" hidden="1" outlineLevel="1" x14ac:dyDescent="0.25"/>
    <row r="34" spans="1:11" ht="52" hidden="1" outlineLevel="1" x14ac:dyDescent="0.25">
      <c r="A34" s="35"/>
      <c r="B34" s="36" t="s">
        <v>19</v>
      </c>
      <c r="C34" s="36" t="s">
        <v>32</v>
      </c>
      <c r="D34" s="36" t="s">
        <v>27</v>
      </c>
      <c r="E34" s="36" t="s">
        <v>16</v>
      </c>
      <c r="F34" s="36" t="s">
        <v>28</v>
      </c>
      <c r="G34" s="36" t="s">
        <v>29</v>
      </c>
      <c r="I34" s="36" t="s">
        <v>30</v>
      </c>
    </row>
    <row r="35" spans="1:11" ht="13" hidden="1" outlineLevel="1" x14ac:dyDescent="0.25">
      <c r="B35" s="33" t="s">
        <v>20</v>
      </c>
      <c r="C35" s="34"/>
      <c r="D35" s="34"/>
      <c r="E35" s="34"/>
      <c r="F35" s="34"/>
      <c r="G35" s="34"/>
      <c r="I35" s="34"/>
    </row>
    <row r="36" spans="1:11" ht="13" hidden="1" outlineLevel="1" x14ac:dyDescent="0.25">
      <c r="B36" s="33" t="s">
        <v>21</v>
      </c>
      <c r="C36" s="34"/>
      <c r="D36" s="34"/>
      <c r="E36" s="34"/>
      <c r="F36" s="34"/>
      <c r="G36" s="34"/>
      <c r="I36" s="34"/>
    </row>
    <row r="37" spans="1:11" ht="13" hidden="1" outlineLevel="1" x14ac:dyDescent="0.25">
      <c r="B37" s="33" t="s">
        <v>22</v>
      </c>
      <c r="C37" s="34"/>
      <c r="D37" s="34"/>
      <c r="E37" s="34"/>
      <c r="F37" s="34"/>
      <c r="G37" s="34"/>
      <c r="I37" s="34"/>
      <c r="J37" s="35"/>
      <c r="K37" s="35"/>
    </row>
    <row r="38" spans="1:11" ht="13" hidden="1" outlineLevel="1" x14ac:dyDescent="0.25">
      <c r="B38" s="33" t="s">
        <v>23</v>
      </c>
      <c r="C38" s="34"/>
      <c r="D38" s="34"/>
      <c r="E38" s="34"/>
      <c r="F38" s="34"/>
      <c r="G38" s="34"/>
      <c r="I38" s="34"/>
    </row>
    <row r="39" spans="1:11" ht="13" hidden="1" outlineLevel="1" x14ac:dyDescent="0.25">
      <c r="B39" s="33" t="s">
        <v>24</v>
      </c>
      <c r="C39" s="34"/>
      <c r="D39" s="34"/>
      <c r="E39" s="34"/>
      <c r="F39" s="34"/>
      <c r="G39" s="34"/>
      <c r="I39" s="34"/>
    </row>
    <row r="40" spans="1:11" ht="13" hidden="1" outlineLevel="1" x14ac:dyDescent="0.25">
      <c r="B40" s="33" t="s">
        <v>25</v>
      </c>
      <c r="C40" s="34"/>
      <c r="D40" s="34"/>
      <c r="E40" s="34"/>
      <c r="F40" s="34"/>
      <c r="G40" s="34"/>
      <c r="I40" s="34"/>
    </row>
    <row r="41" spans="1:11" ht="13" hidden="1" outlineLevel="1" x14ac:dyDescent="0.25">
      <c r="B41" s="33" t="s">
        <v>26</v>
      </c>
      <c r="C41" s="34"/>
      <c r="D41" s="34"/>
      <c r="E41" s="34"/>
      <c r="F41" s="34"/>
      <c r="G41" s="34"/>
      <c r="I41" s="34"/>
    </row>
    <row r="42" spans="1:11" hidden="1" outlineLevel="1" x14ac:dyDescent="0.25"/>
    <row r="43" spans="1:11" hidden="1" outlineLevel="1" x14ac:dyDescent="0.25"/>
    <row r="44" spans="1:11" hidden="1" outlineLevel="1" x14ac:dyDescent="0.25"/>
    <row r="45" spans="1:11" hidden="1" outlineLevel="1" x14ac:dyDescent="0.25"/>
    <row r="46" spans="1:11" hidden="1" outlineLevel="1" x14ac:dyDescent="0.25"/>
    <row r="47" spans="1:11" hidden="1" outlineLevel="1" x14ac:dyDescent="0.25"/>
    <row r="48" spans="1:11" collapsed="1" x14ac:dyDescent="0.25"/>
    <row r="49" spans="1:6" hidden="1" outlineLevel="1" x14ac:dyDescent="0.25"/>
    <row r="50" spans="1:6" hidden="1" outlineLevel="1" x14ac:dyDescent="0.25"/>
    <row r="51" spans="1:6" hidden="1" outlineLevel="1" x14ac:dyDescent="0.25"/>
    <row r="52" spans="1:6" s="35" customFormat="1" hidden="1" outlineLevel="1" x14ac:dyDescent="0.25">
      <c r="A52" s="2"/>
      <c r="B52" s="2"/>
      <c r="C52" s="2"/>
      <c r="D52" s="2"/>
      <c r="E52" s="2"/>
      <c r="F52" s="2"/>
    </row>
    <row r="53" spans="1:6" hidden="1" outlineLevel="1" x14ac:dyDescent="0.25"/>
    <row r="54" spans="1:6" hidden="1" outlineLevel="1" x14ac:dyDescent="0.25"/>
    <row r="55" spans="1:6" hidden="1" outlineLevel="1" x14ac:dyDescent="0.25"/>
    <row r="56" spans="1:6" hidden="1" outlineLevel="1" x14ac:dyDescent="0.25"/>
    <row r="57" spans="1:6" hidden="1" outlineLevel="1" x14ac:dyDescent="0.25"/>
    <row r="58" spans="1:6" hidden="1" outlineLevel="1" x14ac:dyDescent="0.25"/>
    <row r="59" spans="1:6" hidden="1" outlineLevel="1" x14ac:dyDescent="0.25"/>
    <row r="60" spans="1:6" hidden="1" outlineLevel="1" x14ac:dyDescent="0.25"/>
    <row r="61" spans="1:6" collapsed="1" x14ac:dyDescent="0.25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Find_Send_To_2A">
                <anchor moveWithCells="1" sizeWithCells="1">
                  <from>
                    <xdr:col>6</xdr:col>
                    <xdr:colOff>647700</xdr:colOff>
                    <xdr:row>16</xdr:row>
                    <xdr:rowOff>76200</xdr:rowOff>
                  </from>
                  <to>
                    <xdr:col>7</xdr:col>
                    <xdr:colOff>965200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isWorkbook.Find_Send_To_2B">
                <anchor moveWithCells="1" sizeWithCells="1">
                  <from>
                    <xdr:col>10</xdr:col>
                    <xdr:colOff>546100</xdr:colOff>
                    <xdr:row>33</xdr:row>
                    <xdr:rowOff>298450</xdr:rowOff>
                  </from>
                  <to>
                    <xdr:col>14</xdr:col>
                    <xdr:colOff>88900</xdr:colOff>
                    <xdr:row>36</xdr:row>
                    <xdr:rowOff>450850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/>
  </sheetPr>
  <dimension ref="A1:P60"/>
  <sheetViews>
    <sheetView showGridLines="0" topLeftCell="A8" zoomScale="80" workbookViewId="0">
      <selection activeCell="G39" sqref="G39"/>
    </sheetView>
  </sheetViews>
  <sheetFormatPr defaultColWidth="9.33203125" defaultRowHeight="12.5" outlineLevelRow="1" x14ac:dyDescent="0.25"/>
  <cols>
    <col min="1" max="1" width="9.33203125" style="2"/>
    <col min="2" max="8" width="24.6640625" style="2" customWidth="1"/>
    <col min="9" max="9" width="10.77734375" style="2" customWidth="1"/>
    <col min="10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115</v>
      </c>
    </row>
    <row r="8" spans="1:16" ht="18.5" outlineLevel="1" x14ac:dyDescent="0.45">
      <c r="B8" s="4"/>
    </row>
    <row r="9" spans="1:16" outlineLevel="1" x14ac:dyDescent="0.25">
      <c r="B9" s="2" t="s">
        <v>125</v>
      </c>
    </row>
    <row r="10" spans="1:16" outlineLevel="1" x14ac:dyDescent="0.25">
      <c r="B10" s="2" t="s">
        <v>18</v>
      </c>
    </row>
    <row r="11" spans="1:16" outlineLevel="1" x14ac:dyDescent="0.25"/>
    <row r="12" spans="1:16" ht="13" outlineLevel="1" x14ac:dyDescent="0.25">
      <c r="B12" s="32" t="s">
        <v>6</v>
      </c>
      <c r="C12" s="32" t="s">
        <v>16</v>
      </c>
      <c r="D12" s="32" t="s">
        <v>17</v>
      </c>
      <c r="E12" s="32" t="s">
        <v>136</v>
      </c>
      <c r="F12" s="32" t="s">
        <v>107</v>
      </c>
    </row>
    <row r="13" spans="1:16" ht="13" outlineLevel="1" x14ac:dyDescent="0.25">
      <c r="B13" s="33" t="s">
        <v>15</v>
      </c>
      <c r="C13" s="34">
        <f>FIND("-",B13)</f>
        <v>5</v>
      </c>
      <c r="D13" s="34">
        <f>LEN(B13)</f>
        <v>9</v>
      </c>
      <c r="E13" s="34" t="str">
        <f>RIGHT(B13,D13-C13)</f>
        <v>2216</v>
      </c>
      <c r="F13" s="34" t="str">
        <f>RIGHT(B13,LEN(B13)-FIND("-",B13))</f>
        <v>2216</v>
      </c>
    </row>
    <row r="14" spans="1:16" ht="13" outlineLevel="1" x14ac:dyDescent="0.25">
      <c r="B14" s="33" t="s">
        <v>128</v>
      </c>
      <c r="C14" s="34">
        <f t="shared" ref="C14:C20" si="0">FIND("-",B14)</f>
        <v>4</v>
      </c>
      <c r="D14" s="34">
        <f t="shared" ref="D14:D20" si="1">LEN(B14)</f>
        <v>7</v>
      </c>
      <c r="E14" s="34" t="str">
        <f t="shared" ref="E14:E20" si="2">RIGHT(B14,D14-C14)</f>
        <v>382</v>
      </c>
      <c r="F14" s="34" t="str">
        <f t="shared" ref="F14:F20" si="3">RIGHT(B14,LEN(B14)-FIND("-",B14))</f>
        <v>382</v>
      </c>
    </row>
    <row r="15" spans="1:16" ht="13" outlineLevel="1" x14ac:dyDescent="0.25">
      <c r="B15" s="33" t="s">
        <v>129</v>
      </c>
      <c r="C15" s="34">
        <f t="shared" si="0"/>
        <v>2</v>
      </c>
      <c r="D15" s="34">
        <f t="shared" si="1"/>
        <v>4</v>
      </c>
      <c r="E15" s="34" t="str">
        <f t="shared" si="2"/>
        <v>29</v>
      </c>
      <c r="F15" s="34" t="str">
        <f t="shared" si="3"/>
        <v>29</v>
      </c>
    </row>
    <row r="16" spans="1:16" ht="13" outlineLevel="1" x14ac:dyDescent="0.25">
      <c r="B16" s="33" t="s">
        <v>130</v>
      </c>
      <c r="C16" s="34">
        <f t="shared" si="0"/>
        <v>3</v>
      </c>
      <c r="D16" s="34">
        <f t="shared" si="1"/>
        <v>8</v>
      </c>
      <c r="E16" s="34" t="str">
        <f t="shared" si="2"/>
        <v>97486</v>
      </c>
      <c r="F16" s="34" t="str">
        <f t="shared" si="3"/>
        <v>97486</v>
      </c>
    </row>
    <row r="17" spans="1:8" ht="13" outlineLevel="1" x14ac:dyDescent="0.25">
      <c r="B17" s="33" t="s">
        <v>131</v>
      </c>
      <c r="C17" s="34">
        <f t="shared" si="0"/>
        <v>5</v>
      </c>
      <c r="D17" s="34">
        <f t="shared" si="1"/>
        <v>10</v>
      </c>
      <c r="E17" s="34" t="str">
        <f t="shared" si="2"/>
        <v>36166</v>
      </c>
      <c r="F17" s="34" t="str">
        <f t="shared" si="3"/>
        <v>36166</v>
      </c>
    </row>
    <row r="18" spans="1:8" ht="13" outlineLevel="1" x14ac:dyDescent="0.25">
      <c r="B18" s="33" t="s">
        <v>132</v>
      </c>
      <c r="C18" s="34">
        <f t="shared" si="0"/>
        <v>4</v>
      </c>
      <c r="D18" s="34">
        <f t="shared" si="1"/>
        <v>6</v>
      </c>
      <c r="E18" s="34" t="str">
        <f t="shared" si="2"/>
        <v>99</v>
      </c>
      <c r="F18" s="34" t="str">
        <f t="shared" si="3"/>
        <v>99</v>
      </c>
    </row>
    <row r="19" spans="1:8" ht="13" outlineLevel="1" x14ac:dyDescent="0.25">
      <c r="B19" s="33" t="s">
        <v>133</v>
      </c>
      <c r="C19" s="34">
        <f t="shared" si="0"/>
        <v>3</v>
      </c>
      <c r="D19" s="34">
        <f t="shared" si="1"/>
        <v>6</v>
      </c>
      <c r="E19" s="34" t="str">
        <f t="shared" si="2"/>
        <v>205</v>
      </c>
      <c r="F19" s="34" t="str">
        <f t="shared" si="3"/>
        <v>205</v>
      </c>
    </row>
    <row r="20" spans="1:8" ht="13" outlineLevel="1" x14ac:dyDescent="0.25">
      <c r="B20" s="33" t="s">
        <v>134</v>
      </c>
      <c r="C20" s="34">
        <f t="shared" si="0"/>
        <v>4</v>
      </c>
      <c r="D20" s="34">
        <f t="shared" si="1"/>
        <v>7</v>
      </c>
      <c r="E20" s="34" t="str">
        <f t="shared" si="2"/>
        <v>061</v>
      </c>
      <c r="F20" s="34" t="str">
        <f t="shared" si="3"/>
        <v>061</v>
      </c>
    </row>
    <row r="21" spans="1:8" outlineLevel="1" x14ac:dyDescent="0.25"/>
    <row r="22" spans="1:8" outlineLevel="1" x14ac:dyDescent="0.25"/>
    <row r="23" spans="1:8" ht="13" outlineLevel="1" x14ac:dyDescent="0.25">
      <c r="B23" s="6"/>
    </row>
    <row r="24" spans="1:8" ht="13" outlineLevel="1" x14ac:dyDescent="0.3">
      <c r="B24" s="7"/>
    </row>
    <row r="25" spans="1:8" outlineLevel="1" x14ac:dyDescent="0.25"/>
    <row r="26" spans="1:8" outlineLevel="1" x14ac:dyDescent="0.25"/>
    <row r="28" spans="1:8" ht="18.5" outlineLevel="1" x14ac:dyDescent="0.45">
      <c r="B28" s="4" t="s">
        <v>109</v>
      </c>
    </row>
    <row r="29" spans="1:8" outlineLevel="1" x14ac:dyDescent="0.25">
      <c r="B29" s="2" t="s">
        <v>126</v>
      </c>
    </row>
    <row r="30" spans="1:8" outlineLevel="1" x14ac:dyDescent="0.25">
      <c r="B30" s="2" t="s">
        <v>31</v>
      </c>
    </row>
    <row r="31" spans="1:8" outlineLevel="1" x14ac:dyDescent="0.25"/>
    <row r="32" spans="1:8" ht="26" outlineLevel="1" x14ac:dyDescent="0.25">
      <c r="A32" s="35"/>
      <c r="B32" s="36" t="s">
        <v>19</v>
      </c>
      <c r="C32" s="36" t="s">
        <v>32</v>
      </c>
      <c r="D32" s="36" t="s">
        <v>27</v>
      </c>
      <c r="E32" s="36" t="s">
        <v>16</v>
      </c>
      <c r="F32" s="36" t="s">
        <v>28</v>
      </c>
      <c r="G32" s="36" t="s">
        <v>29</v>
      </c>
      <c r="H32" s="36" t="s">
        <v>30</v>
      </c>
    </row>
    <row r="33" spans="2:8" ht="13" outlineLevel="1" x14ac:dyDescent="0.25">
      <c r="B33" s="33" t="s">
        <v>20</v>
      </c>
      <c r="C33" s="34">
        <f>FIND("(",B33)</f>
        <v>1</v>
      </c>
      <c r="D33" s="34">
        <f>FIND(")",B33)</f>
        <v>5</v>
      </c>
      <c r="E33" s="34">
        <f>FIND("-",B33)</f>
        <v>9</v>
      </c>
      <c r="F33" s="34" t="str">
        <f t="shared" ref="F33:F39" si="4">LEFT(RIGHT(LEFT(B33,D33),LEN(LEFT(B33,D33))-C33),D33-2)</f>
        <v>834</v>
      </c>
      <c r="G33" s="34" t="str">
        <f>LEFT(RIGHT(B33,LEN(B33)-D33),3)</f>
        <v>133</v>
      </c>
      <c r="H33" s="34" t="str">
        <f>RIGHT(B33,LEN(B33)-E33)</f>
        <v>1776</v>
      </c>
    </row>
    <row r="34" spans="2:8" ht="13" outlineLevel="1" x14ac:dyDescent="0.25">
      <c r="B34" s="33" t="s">
        <v>21</v>
      </c>
      <c r="C34" s="34">
        <f t="shared" ref="C34:C39" si="5">FIND("(",B34)</f>
        <v>1</v>
      </c>
      <c r="D34" s="34">
        <f t="shared" ref="D34:D39" si="6">FIND(")",B34)</f>
        <v>5</v>
      </c>
      <c r="E34" s="34">
        <f t="shared" ref="E34:E39" si="7">FIND("-",B34)</f>
        <v>9</v>
      </c>
      <c r="F34" s="34" t="str">
        <f t="shared" si="4"/>
        <v>623</v>
      </c>
      <c r="G34" s="34" t="str">
        <f t="shared" ref="G34:G39" si="8">LEFT(RIGHT(B34,LEN(B34)-D34),3)</f>
        <v>560</v>
      </c>
      <c r="H34" s="34" t="str">
        <f t="shared" ref="H34:H39" si="9">RIGHT(B34,LEN(B34)-E34)</f>
        <v>7830</v>
      </c>
    </row>
    <row r="35" spans="2:8" ht="13" outlineLevel="1" x14ac:dyDescent="0.25">
      <c r="B35" s="33" t="s">
        <v>22</v>
      </c>
      <c r="C35" s="34">
        <f t="shared" si="5"/>
        <v>1</v>
      </c>
      <c r="D35" s="34">
        <f t="shared" si="6"/>
        <v>5</v>
      </c>
      <c r="E35" s="34">
        <f t="shared" si="7"/>
        <v>9</v>
      </c>
      <c r="F35" s="34" t="str">
        <f t="shared" si="4"/>
        <v>220</v>
      </c>
      <c r="G35" s="34" t="str">
        <f t="shared" si="8"/>
        <v>249</v>
      </c>
      <c r="H35" s="34" t="str">
        <f t="shared" si="9"/>
        <v>2610</v>
      </c>
    </row>
    <row r="36" spans="2:8" ht="13" outlineLevel="1" x14ac:dyDescent="0.25">
      <c r="B36" s="33" t="s">
        <v>23</v>
      </c>
      <c r="C36" s="34">
        <f t="shared" si="5"/>
        <v>1</v>
      </c>
      <c r="D36" s="34">
        <f t="shared" si="6"/>
        <v>5</v>
      </c>
      <c r="E36" s="34">
        <f t="shared" si="7"/>
        <v>9</v>
      </c>
      <c r="F36" s="34" t="str">
        <f t="shared" si="4"/>
        <v>444</v>
      </c>
      <c r="G36" s="34" t="str">
        <f t="shared" si="8"/>
        <v>698</v>
      </c>
      <c r="H36" s="34" t="str">
        <f t="shared" si="9"/>
        <v>6184</v>
      </c>
    </row>
    <row r="37" spans="2:8" ht="13" outlineLevel="1" x14ac:dyDescent="0.25">
      <c r="B37" s="33" t="s">
        <v>24</v>
      </c>
      <c r="C37" s="34">
        <f t="shared" si="5"/>
        <v>1</v>
      </c>
      <c r="D37" s="34">
        <f t="shared" si="6"/>
        <v>5</v>
      </c>
      <c r="E37" s="34">
        <f t="shared" si="7"/>
        <v>9</v>
      </c>
      <c r="F37" s="34" t="str">
        <f t="shared" si="4"/>
        <v>639</v>
      </c>
      <c r="G37" s="34" t="str">
        <f t="shared" si="8"/>
        <v>771</v>
      </c>
      <c r="H37" s="34" t="str">
        <f t="shared" si="9"/>
        <v>1953</v>
      </c>
    </row>
    <row r="38" spans="2:8" ht="13" outlineLevel="1" x14ac:dyDescent="0.25">
      <c r="B38" s="33" t="s">
        <v>25</v>
      </c>
      <c r="C38" s="34">
        <f t="shared" si="5"/>
        <v>1</v>
      </c>
      <c r="D38" s="34">
        <f t="shared" si="6"/>
        <v>5</v>
      </c>
      <c r="E38" s="34">
        <f t="shared" si="7"/>
        <v>9</v>
      </c>
      <c r="F38" s="34" t="str">
        <f t="shared" si="4"/>
        <v>761</v>
      </c>
      <c r="G38" s="34" t="str">
        <f t="shared" si="8"/>
        <v>431</v>
      </c>
      <c r="H38" s="34" t="str">
        <f t="shared" si="9"/>
        <v>5462</v>
      </c>
    </row>
    <row r="39" spans="2:8" ht="13" outlineLevel="1" x14ac:dyDescent="0.25">
      <c r="B39" s="33" t="s">
        <v>26</v>
      </c>
      <c r="C39" s="34">
        <f t="shared" si="5"/>
        <v>1</v>
      </c>
      <c r="D39" s="34">
        <f t="shared" si="6"/>
        <v>5</v>
      </c>
      <c r="E39" s="34">
        <f t="shared" si="7"/>
        <v>9</v>
      </c>
      <c r="F39" s="34" t="str">
        <f t="shared" si="4"/>
        <v>326</v>
      </c>
      <c r="G39" s="34" t="str">
        <f t="shared" si="8"/>
        <v>681</v>
      </c>
      <c r="H39" s="34" t="str">
        <f t="shared" si="9"/>
        <v>5891</v>
      </c>
    </row>
    <row r="40" spans="2:8" outlineLevel="1" x14ac:dyDescent="0.25"/>
    <row r="41" spans="2:8" outlineLevel="1" x14ac:dyDescent="0.25"/>
    <row r="42" spans="2:8" outlineLevel="1" x14ac:dyDescent="0.25"/>
    <row r="43" spans="2:8" outlineLevel="1" x14ac:dyDescent="0.25"/>
    <row r="44" spans="2:8" outlineLevel="1" x14ac:dyDescent="0.25"/>
    <row r="45" spans="2:8" outlineLevel="1" x14ac:dyDescent="0.25"/>
    <row r="46" spans="2:8" outlineLevel="1" x14ac:dyDescent="0.25"/>
    <row r="47" spans="2:8" outlineLevel="1" x14ac:dyDescent="0.25"/>
    <row r="49" spans="1:8" outlineLevel="1" x14ac:dyDescent="0.25"/>
    <row r="50" spans="1:8" outlineLevel="1" x14ac:dyDescent="0.25"/>
    <row r="51" spans="1:8" outlineLevel="1" x14ac:dyDescent="0.25"/>
    <row r="52" spans="1:8" s="35" customFormat="1" outlineLevel="1" x14ac:dyDescent="0.25">
      <c r="A52" s="2"/>
      <c r="B52" s="2"/>
      <c r="C52" s="2"/>
      <c r="D52" s="2"/>
      <c r="E52" s="2"/>
      <c r="F52" s="2"/>
      <c r="G52" s="2"/>
      <c r="H52" s="2"/>
    </row>
    <row r="53" spans="1:8" outlineLevel="1" x14ac:dyDescent="0.25"/>
    <row r="54" spans="1:8" outlineLevel="1" x14ac:dyDescent="0.25"/>
    <row r="55" spans="1:8" outlineLevel="1" x14ac:dyDescent="0.25"/>
    <row r="56" spans="1:8" outlineLevel="1" x14ac:dyDescent="0.25"/>
    <row r="57" spans="1:8" outlineLevel="1" x14ac:dyDescent="0.25"/>
    <row r="58" spans="1:8" outlineLevel="1" x14ac:dyDescent="0.25"/>
    <row r="59" spans="1:8" outlineLevel="1" x14ac:dyDescent="0.25"/>
    <row r="60" spans="1:8" outlineLevel="1" x14ac:dyDescent="0.25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Find_Instruction_Send_To_2A">
                <anchor moveWithCells="1" sizeWithCells="1">
                  <from>
                    <xdr:col>6</xdr:col>
                    <xdr:colOff>355600</xdr:colOff>
                    <xdr:row>13</xdr:row>
                    <xdr:rowOff>38100</xdr:rowOff>
                  </from>
                  <to>
                    <xdr:col>7</xdr:col>
                    <xdr:colOff>679450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hisWorkbook.Find_Instruction_Send_To_2B">
                <anchor moveWithCells="1" sizeWithCells="1">
                  <from>
                    <xdr:col>8</xdr:col>
                    <xdr:colOff>260350</xdr:colOff>
                    <xdr:row>51</xdr:row>
                    <xdr:rowOff>184150</xdr:rowOff>
                  </from>
                  <to>
                    <xdr:col>11</xdr:col>
                    <xdr:colOff>298450</xdr:colOff>
                    <xdr:row>54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40"/>
  <sheetViews>
    <sheetView showGridLines="0" zoomScale="80" workbookViewId="0">
      <selection activeCell="D3" sqref="D3"/>
    </sheetView>
  </sheetViews>
  <sheetFormatPr defaultColWidth="9.33203125" defaultRowHeight="12.5" outlineLevelRow="1" x14ac:dyDescent="0.25"/>
  <cols>
    <col min="1" max="1" width="9.33203125" style="2"/>
    <col min="2" max="8" width="24.77734375" style="2" customWidth="1"/>
    <col min="9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hidden="1" outlineLevel="1" x14ac:dyDescent="0.25"/>
    <row r="9" spans="1:16" hidden="1" outlineLevel="1" x14ac:dyDescent="0.25">
      <c r="B9" s="2" t="s">
        <v>127</v>
      </c>
    </row>
    <row r="10" spans="1:16" hidden="1" outlineLevel="1" x14ac:dyDescent="0.25">
      <c r="B10" s="2" t="s">
        <v>137</v>
      </c>
    </row>
    <row r="11" spans="1:16" hidden="1" outlineLevel="1" x14ac:dyDescent="0.25"/>
    <row r="12" spans="1:16" ht="13" hidden="1" outlineLevel="1" x14ac:dyDescent="0.25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ht="13" hidden="1" outlineLevel="1" x14ac:dyDescent="0.25">
      <c r="B13" s="33" t="s">
        <v>34</v>
      </c>
      <c r="C13" s="33" t="s">
        <v>117</v>
      </c>
      <c r="D13" s="34"/>
      <c r="E13" s="34"/>
    </row>
    <row r="14" spans="1:16" ht="13" hidden="1" outlineLevel="1" x14ac:dyDescent="0.25">
      <c r="B14" s="33" t="s">
        <v>39</v>
      </c>
      <c r="C14" s="33" t="s">
        <v>117</v>
      </c>
      <c r="D14" s="34"/>
      <c r="E14" s="34"/>
    </row>
    <row r="15" spans="1:16" ht="13" hidden="1" outlineLevel="1" x14ac:dyDescent="0.25">
      <c r="B15" s="33" t="s">
        <v>40</v>
      </c>
      <c r="C15" s="33" t="s">
        <v>118</v>
      </c>
      <c r="D15" s="34"/>
      <c r="E15" s="34"/>
    </row>
    <row r="16" spans="1:16" ht="13" hidden="1" outlineLevel="1" x14ac:dyDescent="0.25">
      <c r="B16" s="33" t="s">
        <v>35</v>
      </c>
      <c r="C16" s="33" t="s">
        <v>117</v>
      </c>
      <c r="D16" s="34"/>
      <c r="E16" s="34"/>
    </row>
    <row r="17" spans="2:6" ht="13" hidden="1" outlineLevel="1" x14ac:dyDescent="0.25">
      <c r="B17" s="33" t="s">
        <v>38</v>
      </c>
      <c r="C17" s="33" t="s">
        <v>117</v>
      </c>
      <c r="D17" s="34"/>
      <c r="E17" s="34"/>
    </row>
    <row r="18" spans="2:6" ht="13" hidden="1" outlineLevel="1" x14ac:dyDescent="0.25">
      <c r="B18" s="33" t="s">
        <v>36</v>
      </c>
      <c r="C18" s="33" t="s">
        <v>117</v>
      </c>
      <c r="D18" s="34"/>
      <c r="E18" s="34"/>
    </row>
    <row r="19" spans="2:6" ht="13" hidden="1" outlineLevel="1" x14ac:dyDescent="0.25">
      <c r="B19" s="33" t="s">
        <v>33</v>
      </c>
      <c r="C19" s="33" t="s">
        <v>117</v>
      </c>
      <c r="D19" s="34"/>
      <c r="E19" s="34"/>
    </row>
    <row r="20" spans="2:6" ht="13" hidden="1" outlineLevel="1" x14ac:dyDescent="0.25">
      <c r="B20" s="33" t="s">
        <v>37</v>
      </c>
      <c r="C20" s="33" t="s">
        <v>119</v>
      </c>
      <c r="D20" s="34"/>
      <c r="E20" s="34"/>
    </row>
    <row r="21" spans="2:6" hidden="1" outlineLevel="1" x14ac:dyDescent="0.25"/>
    <row r="22" spans="2:6" hidden="1" outlineLevel="1" x14ac:dyDescent="0.25"/>
    <row r="23" spans="2:6" ht="13" hidden="1" outlineLevel="1" x14ac:dyDescent="0.25">
      <c r="B23" s="6"/>
    </row>
    <row r="24" spans="2:6" ht="13" hidden="1" outlineLevel="1" x14ac:dyDescent="0.3">
      <c r="B24" s="7"/>
    </row>
    <row r="25" spans="2:6" hidden="1" outlineLevel="1" x14ac:dyDescent="0.25"/>
    <row r="26" spans="2:6" hidden="1" outlineLevel="1" x14ac:dyDescent="0.25"/>
    <row r="27" spans="2:6" ht="18.5" collapsed="1" x14ac:dyDescent="0.45">
      <c r="B27" s="4" t="s">
        <v>112</v>
      </c>
    </row>
    <row r="28" spans="2:6" ht="18.5" hidden="1" outlineLevel="1" x14ac:dyDescent="0.45">
      <c r="B28" s="4"/>
    </row>
    <row r="29" spans="2:6" hidden="1" outlineLevel="1" x14ac:dyDescent="0.25">
      <c r="B29" s="2" t="s">
        <v>141</v>
      </c>
    </row>
    <row r="30" spans="2:6" hidden="1" outlineLevel="1" x14ac:dyDescent="0.25">
      <c r="B30" s="2" t="s">
        <v>58</v>
      </c>
    </row>
    <row r="31" spans="2:6" hidden="1" outlineLevel="1" x14ac:dyDescent="0.25"/>
    <row r="32" spans="2:6" ht="13" hidden="1" outlineLevel="1" x14ac:dyDescent="0.25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ht="13" hidden="1" outlineLevel="1" x14ac:dyDescent="0.25">
      <c r="B33" s="33" t="s">
        <v>45</v>
      </c>
      <c r="C33" s="33" t="s">
        <v>46</v>
      </c>
      <c r="D33" s="34"/>
      <c r="E33" s="34"/>
      <c r="F33" s="34"/>
    </row>
    <row r="34" spans="2:6" ht="13" hidden="1" outlineLevel="1" x14ac:dyDescent="0.25">
      <c r="B34" s="33" t="s">
        <v>47</v>
      </c>
      <c r="C34" s="33" t="s">
        <v>48</v>
      </c>
      <c r="D34" s="34"/>
      <c r="E34" s="34"/>
      <c r="F34" s="34"/>
    </row>
    <row r="35" spans="2:6" ht="13" hidden="1" outlineLevel="1" x14ac:dyDescent="0.25">
      <c r="B35" s="33" t="s">
        <v>49</v>
      </c>
      <c r="C35" s="33" t="s">
        <v>50</v>
      </c>
      <c r="D35" s="34"/>
      <c r="E35" s="34"/>
      <c r="F35" s="34"/>
    </row>
    <row r="36" spans="2:6" ht="13" hidden="1" outlineLevel="1" x14ac:dyDescent="0.25">
      <c r="B36" s="33" t="s">
        <v>51</v>
      </c>
      <c r="C36" s="33" t="s">
        <v>52</v>
      </c>
      <c r="D36" s="34"/>
      <c r="E36" s="34"/>
      <c r="F36" s="34"/>
    </row>
    <row r="37" spans="2:6" ht="13" hidden="1" outlineLevel="1" x14ac:dyDescent="0.25">
      <c r="B37" s="33" t="s">
        <v>53</v>
      </c>
      <c r="C37" s="33" t="s">
        <v>54</v>
      </c>
      <c r="D37" s="34"/>
      <c r="E37" s="34"/>
      <c r="F37" s="34"/>
    </row>
    <row r="38" spans="2:6" ht="13" hidden="1" outlineLevel="1" x14ac:dyDescent="0.25">
      <c r="B38" s="33" t="s">
        <v>55</v>
      </c>
      <c r="C38" s="33" t="s">
        <v>56</v>
      </c>
      <c r="D38" s="34"/>
      <c r="E38" s="34"/>
      <c r="F38" s="34"/>
    </row>
    <row r="39" spans="2:6" ht="13" hidden="1" outlineLevel="1" x14ac:dyDescent="0.25">
      <c r="B39" s="8"/>
      <c r="C39" s="8"/>
      <c r="D39" s="8"/>
      <c r="E39" s="8"/>
      <c r="F39" s="8"/>
    </row>
    <row r="40" spans="2:6" ht="13" collapsed="1" x14ac:dyDescent="0.25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rop_Send_To_1A">
                <anchor moveWithCells="1" sizeWithCells="1">
                  <from>
                    <xdr:col>1</xdr:col>
                    <xdr:colOff>241300</xdr:colOff>
                    <xdr:row>20</xdr:row>
                    <xdr:rowOff>146050</xdr:rowOff>
                  </from>
                  <to>
                    <xdr:col>2</xdr:col>
                    <xdr:colOff>565150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Prop_Send_To_1B">
                <anchor moveWithCells="1" sizeWithCells="1">
                  <from>
                    <xdr:col>6</xdr:col>
                    <xdr:colOff>222250</xdr:colOff>
                    <xdr:row>32</xdr:row>
                    <xdr:rowOff>31750</xdr:rowOff>
                  </from>
                  <to>
                    <xdr:col>7</xdr:col>
                    <xdr:colOff>527050</xdr:colOff>
                    <xdr:row>35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5"/>
  </sheetPr>
  <dimension ref="A1:P40"/>
  <sheetViews>
    <sheetView showGridLines="0" zoomScale="80" workbookViewId="0">
      <selection activeCell="G32" sqref="G32"/>
    </sheetView>
  </sheetViews>
  <sheetFormatPr defaultColWidth="9.33203125" defaultRowHeight="12.5" outlineLevelRow="1" x14ac:dyDescent="0.25"/>
  <cols>
    <col min="1" max="1" width="9.33203125" style="2"/>
    <col min="2" max="8" width="24.77734375" style="2" customWidth="1"/>
    <col min="9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outlineLevel="1" x14ac:dyDescent="0.25"/>
    <row r="9" spans="1:16" outlineLevel="1" x14ac:dyDescent="0.25">
      <c r="B9" s="2" t="s">
        <v>127</v>
      </c>
    </row>
    <row r="10" spans="1:16" outlineLevel="1" x14ac:dyDescent="0.25">
      <c r="B10" s="2" t="s">
        <v>137</v>
      </c>
    </row>
    <row r="11" spans="1:16" outlineLevel="1" x14ac:dyDescent="0.25"/>
    <row r="12" spans="1:16" ht="13" outlineLevel="1" x14ac:dyDescent="0.25">
      <c r="B12" s="32" t="s">
        <v>41</v>
      </c>
      <c r="C12" s="32" t="s">
        <v>120</v>
      </c>
      <c r="D12" s="32" t="s">
        <v>42</v>
      </c>
      <c r="E12" s="32" t="s">
        <v>121</v>
      </c>
    </row>
    <row r="13" spans="1:16" ht="13" outlineLevel="1" x14ac:dyDescent="0.25">
      <c r="B13" s="33" t="s">
        <v>34</v>
      </c>
      <c r="C13" s="33" t="s">
        <v>117</v>
      </c>
      <c r="D13" s="34" t="str">
        <f>PROPER(B13)</f>
        <v>Manaus</v>
      </c>
      <c r="E13" s="34" t="str">
        <f>CONCATENATE(D13,", ",C13)</f>
        <v>Manaus, Brazil</v>
      </c>
    </row>
    <row r="14" spans="1:16" ht="13" outlineLevel="1" x14ac:dyDescent="0.25">
      <c r="B14" s="33" t="s">
        <v>39</v>
      </c>
      <c r="C14" s="33" t="s">
        <v>117</v>
      </c>
      <c r="D14" s="34" t="str">
        <f t="shared" ref="D14:D20" si="0">PROPER(B14)</f>
        <v>Campina Grande</v>
      </c>
      <c r="E14" s="34" t="str">
        <f t="shared" ref="E14:E20" si="1">CONCATENATE(D14,", ",C14)</f>
        <v>Campina Grande, Brazil</v>
      </c>
    </row>
    <row r="15" spans="1:16" ht="13" outlineLevel="1" x14ac:dyDescent="0.25">
      <c r="B15" s="33" t="s">
        <v>40</v>
      </c>
      <c r="C15" s="33" t="s">
        <v>118</v>
      </c>
      <c r="D15" s="34" t="str">
        <f t="shared" si="0"/>
        <v>Natal</v>
      </c>
      <c r="E15" s="34" t="str">
        <f t="shared" si="1"/>
        <v>Natal, South Africa</v>
      </c>
    </row>
    <row r="16" spans="1:16" ht="13" outlineLevel="1" x14ac:dyDescent="0.25">
      <c r="B16" s="33" t="s">
        <v>35</v>
      </c>
      <c r="C16" s="33" t="s">
        <v>117</v>
      </c>
      <c r="D16" s="34" t="str">
        <f t="shared" si="0"/>
        <v>Belém</v>
      </c>
      <c r="E16" s="34" t="str">
        <f t="shared" si="1"/>
        <v>Belém, Brazil</v>
      </c>
    </row>
    <row r="17" spans="2:6" ht="13" outlineLevel="1" x14ac:dyDescent="0.25">
      <c r="B17" s="33" t="s">
        <v>38</v>
      </c>
      <c r="C17" s="33" t="s">
        <v>117</v>
      </c>
      <c r="D17" s="34" t="str">
        <f t="shared" si="0"/>
        <v>João Pessoa</v>
      </c>
      <c r="E17" s="34" t="str">
        <f t="shared" si="1"/>
        <v>João Pessoa, Brazil</v>
      </c>
    </row>
    <row r="18" spans="2:6" ht="13" outlineLevel="1" x14ac:dyDescent="0.25">
      <c r="B18" s="33" t="s">
        <v>36</v>
      </c>
      <c r="C18" s="33" t="s">
        <v>117</v>
      </c>
      <c r="D18" s="34" t="str">
        <f t="shared" si="0"/>
        <v>Fortaleza</v>
      </c>
      <c r="E18" s="34" t="str">
        <f t="shared" si="1"/>
        <v>Fortaleza, Brazil</v>
      </c>
    </row>
    <row r="19" spans="2:6" ht="13" outlineLevel="1" x14ac:dyDescent="0.25">
      <c r="B19" s="33" t="s">
        <v>33</v>
      </c>
      <c r="C19" s="33" t="s">
        <v>117</v>
      </c>
      <c r="D19" s="34" t="str">
        <f t="shared" si="0"/>
        <v>Castanhal</v>
      </c>
      <c r="E19" s="34" t="str">
        <f t="shared" si="1"/>
        <v>Castanhal, Brazil</v>
      </c>
    </row>
    <row r="20" spans="2:6" ht="13" outlineLevel="1" x14ac:dyDescent="0.25">
      <c r="B20" s="33" t="s">
        <v>37</v>
      </c>
      <c r="C20" s="33" t="s">
        <v>119</v>
      </c>
      <c r="D20" s="34" t="str">
        <f t="shared" si="0"/>
        <v>Maranguape</v>
      </c>
      <c r="E20" s="34" t="str">
        <f t="shared" si="1"/>
        <v>Maranguape, Ceará</v>
      </c>
    </row>
    <row r="21" spans="2:6" outlineLevel="1" x14ac:dyDescent="0.25"/>
    <row r="22" spans="2:6" outlineLevel="1" x14ac:dyDescent="0.25"/>
    <row r="23" spans="2:6" ht="13" outlineLevel="1" x14ac:dyDescent="0.25">
      <c r="B23" s="6"/>
    </row>
    <row r="24" spans="2:6" ht="13" outlineLevel="1" x14ac:dyDescent="0.3">
      <c r="B24" s="7"/>
    </row>
    <row r="25" spans="2:6" outlineLevel="1" x14ac:dyDescent="0.25"/>
    <row r="26" spans="2:6" outlineLevel="1" x14ac:dyDescent="0.25"/>
    <row r="27" spans="2:6" ht="18.5" x14ac:dyDescent="0.45">
      <c r="B27" s="4" t="s">
        <v>112</v>
      </c>
    </row>
    <row r="28" spans="2:6" ht="18.5" outlineLevel="1" x14ac:dyDescent="0.45">
      <c r="B28" s="4"/>
    </row>
    <row r="29" spans="2:6" outlineLevel="1" x14ac:dyDescent="0.25">
      <c r="B29" s="2" t="s">
        <v>122</v>
      </c>
    </row>
    <row r="30" spans="2:6" outlineLevel="1" x14ac:dyDescent="0.25">
      <c r="B30" s="2" t="s">
        <v>58</v>
      </c>
    </row>
    <row r="31" spans="2:6" outlineLevel="1" x14ac:dyDescent="0.25"/>
    <row r="32" spans="2:6" ht="13" outlineLevel="1" x14ac:dyDescent="0.25">
      <c r="B32" s="32" t="s">
        <v>43</v>
      </c>
      <c r="C32" s="32" t="s">
        <v>44</v>
      </c>
      <c r="D32" s="32" t="s">
        <v>43</v>
      </c>
      <c r="E32" s="32" t="s">
        <v>44</v>
      </c>
      <c r="F32" s="32" t="s">
        <v>57</v>
      </c>
    </row>
    <row r="33" spans="2:6" ht="13" outlineLevel="1" x14ac:dyDescent="0.25">
      <c r="B33" s="33" t="s">
        <v>45</v>
      </c>
      <c r="C33" s="33" t="s">
        <v>46</v>
      </c>
      <c r="D33" s="34" t="str">
        <f>PROPER(B33)</f>
        <v>Eric</v>
      </c>
      <c r="E33" s="34" t="str">
        <f>PROPER(C33)</f>
        <v>Johnson</v>
      </c>
      <c r="F33" s="34" t="str">
        <f>CONCATENATE(D33,", ",E33)</f>
        <v>Eric, Johnson</v>
      </c>
    </row>
    <row r="34" spans="2:6" ht="13" outlineLevel="1" x14ac:dyDescent="0.25">
      <c r="B34" s="33" t="s">
        <v>47</v>
      </c>
      <c r="C34" s="33" t="s">
        <v>48</v>
      </c>
      <c r="D34" s="34" t="str">
        <f t="shared" ref="D34:D38" si="2">PROPER(B34)</f>
        <v>John</v>
      </c>
      <c r="E34" s="34" t="str">
        <f t="shared" ref="E34:E38" si="3">PROPER(C34)</f>
        <v>Smith</v>
      </c>
      <c r="F34" s="34" t="str">
        <f t="shared" ref="F34:F38" si="4">CONCATENATE(D34,", ",E34)</f>
        <v>John, Smith</v>
      </c>
    </row>
    <row r="35" spans="2:6" ht="13" outlineLevel="1" x14ac:dyDescent="0.25">
      <c r="B35" s="33" t="s">
        <v>49</v>
      </c>
      <c r="C35" s="33" t="s">
        <v>50</v>
      </c>
      <c r="D35" s="34" t="str">
        <f t="shared" si="2"/>
        <v>Beth</v>
      </c>
      <c r="E35" s="34" t="str">
        <f t="shared" si="3"/>
        <v>Summers</v>
      </c>
      <c r="F35" s="34" t="str">
        <f t="shared" si="4"/>
        <v>Beth, Summers</v>
      </c>
    </row>
    <row r="36" spans="2:6" ht="13" outlineLevel="1" x14ac:dyDescent="0.25">
      <c r="B36" s="33" t="s">
        <v>51</v>
      </c>
      <c r="C36" s="33" t="s">
        <v>52</v>
      </c>
      <c r="D36" s="34" t="str">
        <f t="shared" si="2"/>
        <v>Miles</v>
      </c>
      <c r="E36" s="34" t="str">
        <f t="shared" si="3"/>
        <v>Peterson</v>
      </c>
      <c r="F36" s="34" t="str">
        <f t="shared" si="4"/>
        <v>Miles, Peterson</v>
      </c>
    </row>
    <row r="37" spans="2:6" ht="13" outlineLevel="1" x14ac:dyDescent="0.25">
      <c r="B37" s="33" t="s">
        <v>53</v>
      </c>
      <c r="C37" s="33" t="s">
        <v>54</v>
      </c>
      <c r="D37" s="34" t="str">
        <f t="shared" si="2"/>
        <v>Jenna</v>
      </c>
      <c r="E37" s="34" t="str">
        <f t="shared" si="3"/>
        <v>Stone</v>
      </c>
      <c r="F37" s="34" t="str">
        <f t="shared" si="4"/>
        <v>Jenna, Stone</v>
      </c>
    </row>
    <row r="38" spans="2:6" ht="13" outlineLevel="1" x14ac:dyDescent="0.25">
      <c r="B38" s="33" t="s">
        <v>55</v>
      </c>
      <c r="C38" s="33" t="s">
        <v>56</v>
      </c>
      <c r="D38" s="34" t="str">
        <f t="shared" si="2"/>
        <v>Quinn</v>
      </c>
      <c r="E38" s="34" t="str">
        <f t="shared" si="3"/>
        <v>Cook</v>
      </c>
      <c r="F38" s="34" t="str">
        <f t="shared" si="4"/>
        <v>Quinn, Cook</v>
      </c>
    </row>
    <row r="39" spans="2:6" ht="13" outlineLevel="1" x14ac:dyDescent="0.25">
      <c r="B39" s="8"/>
      <c r="C39" s="8"/>
      <c r="D39" s="8"/>
      <c r="E39" s="8"/>
      <c r="F39" s="8"/>
    </row>
    <row r="40" spans="2:6" ht="13" x14ac:dyDescent="0.25">
      <c r="E40" s="8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Prop_Instruction_Send_To_1A">
                <anchor moveWithCells="1" sizeWithCells="1">
                  <from>
                    <xdr:col>1</xdr:col>
                    <xdr:colOff>31750</xdr:colOff>
                    <xdr:row>20</xdr:row>
                    <xdr:rowOff>76200</xdr:rowOff>
                  </from>
                  <to>
                    <xdr:col>2</xdr:col>
                    <xdr:colOff>336550</xdr:colOff>
                    <xdr:row>23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Prop_Instruction_Send_To_1B">
                <anchor moveWithCells="1" sizeWithCells="1">
                  <from>
                    <xdr:col>6</xdr:col>
                    <xdr:colOff>336550</xdr:colOff>
                    <xdr:row>32</xdr:row>
                    <xdr:rowOff>12700</xdr:rowOff>
                  </from>
                  <to>
                    <xdr:col>7</xdr:col>
                    <xdr:colOff>641350</xdr:colOff>
                    <xdr:row>35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67"/>
  <sheetViews>
    <sheetView showGridLines="0" zoomScale="80" workbookViewId="0">
      <selection activeCell="E4" sqref="E4"/>
    </sheetView>
  </sheetViews>
  <sheetFormatPr defaultColWidth="9.33203125" defaultRowHeight="12.5" outlineLevelRow="1" x14ac:dyDescent="0.25"/>
  <cols>
    <col min="1" max="1" width="9.33203125" style="2"/>
    <col min="2" max="2" width="20" style="2" customWidth="1"/>
    <col min="3" max="3" width="27.33203125" style="2" customWidth="1"/>
    <col min="4" max="4" width="30.77734375" style="2" customWidth="1"/>
    <col min="5" max="5" width="29.10937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hidden="1" outlineLevel="1" x14ac:dyDescent="0.25"/>
    <row r="9" spans="1:16" hidden="1" outlineLevel="1" x14ac:dyDescent="0.25">
      <c r="B9" s="2" t="s">
        <v>142</v>
      </c>
    </row>
    <row r="10" spans="1:16" hidden="1" outlineLevel="1" x14ac:dyDescent="0.25">
      <c r="B10" s="2" t="s">
        <v>143</v>
      </c>
    </row>
    <row r="11" spans="1:16" hidden="1" outlineLevel="1" x14ac:dyDescent="0.25"/>
    <row r="12" spans="1:16" ht="13" hidden="1" outlineLevel="1" x14ac:dyDescent="0.25">
      <c r="B12" s="32" t="s">
        <v>59</v>
      </c>
      <c r="C12" s="32" t="s">
        <v>60</v>
      </c>
      <c r="D12" s="32" t="s">
        <v>61</v>
      </c>
      <c r="E12" s="32" t="s">
        <v>62</v>
      </c>
      <c r="F12" s="32" t="s">
        <v>63</v>
      </c>
    </row>
    <row r="13" spans="1:16" hidden="1" outlineLevel="1" x14ac:dyDescent="0.25">
      <c r="B13" s="13">
        <v>42535</v>
      </c>
      <c r="C13" s="14">
        <f t="shared" ref="C13:C23" si="0">VALUE(MONTH(B13))</f>
        <v>6</v>
      </c>
      <c r="D13" s="15">
        <v>208</v>
      </c>
      <c r="E13" s="16">
        <v>14.5</v>
      </c>
      <c r="F13" s="17">
        <f t="shared" ref="F13:F23" si="1">E13*D13</f>
        <v>3016</v>
      </c>
    </row>
    <row r="14" spans="1:16" hidden="1" outlineLevel="1" x14ac:dyDescent="0.25">
      <c r="B14" s="13">
        <v>42553</v>
      </c>
      <c r="C14" s="14">
        <f t="shared" si="0"/>
        <v>7</v>
      </c>
      <c r="D14" s="15">
        <v>197</v>
      </c>
      <c r="E14" s="16">
        <v>14.5</v>
      </c>
      <c r="F14" s="17">
        <f t="shared" si="1"/>
        <v>2856.5</v>
      </c>
    </row>
    <row r="15" spans="1:16" hidden="1" outlineLevel="1" x14ac:dyDescent="0.25">
      <c r="B15" s="13">
        <v>42536</v>
      </c>
      <c r="C15" s="14">
        <f t="shared" si="0"/>
        <v>6</v>
      </c>
      <c r="D15" s="15">
        <v>176</v>
      </c>
      <c r="E15" s="16">
        <v>14.5</v>
      </c>
      <c r="F15" s="17">
        <f t="shared" si="1"/>
        <v>2552</v>
      </c>
    </row>
    <row r="16" spans="1:16" hidden="1" outlineLevel="1" x14ac:dyDescent="0.25">
      <c r="B16" s="13">
        <v>42531</v>
      </c>
      <c r="C16" s="14">
        <f t="shared" si="0"/>
        <v>6</v>
      </c>
      <c r="D16" s="15">
        <v>168</v>
      </c>
      <c r="E16" s="16">
        <v>14.5</v>
      </c>
      <c r="F16" s="17">
        <f t="shared" si="1"/>
        <v>2436</v>
      </c>
    </row>
    <row r="17" spans="2:6" hidden="1" outlineLevel="1" x14ac:dyDescent="0.25">
      <c r="B17" s="13">
        <v>42536</v>
      </c>
      <c r="C17" s="14">
        <f t="shared" si="0"/>
        <v>6</v>
      </c>
      <c r="D17" s="15">
        <v>166</v>
      </c>
      <c r="E17" s="16">
        <v>14.5</v>
      </c>
      <c r="F17" s="17">
        <f t="shared" si="1"/>
        <v>2407</v>
      </c>
    </row>
    <row r="18" spans="2:6" hidden="1" outlineLevel="1" x14ac:dyDescent="0.25">
      <c r="B18" s="13">
        <v>42539</v>
      </c>
      <c r="C18" s="14">
        <f t="shared" si="0"/>
        <v>6</v>
      </c>
      <c r="D18" s="15">
        <v>157</v>
      </c>
      <c r="E18" s="16">
        <v>14.5</v>
      </c>
      <c r="F18" s="17">
        <f t="shared" si="1"/>
        <v>2276.5</v>
      </c>
    </row>
    <row r="19" spans="2:6" hidden="1" outlineLevel="1" x14ac:dyDescent="0.25">
      <c r="B19" s="13">
        <v>42545</v>
      </c>
      <c r="C19" s="14">
        <f t="shared" si="0"/>
        <v>6</v>
      </c>
      <c r="D19" s="15">
        <v>142</v>
      </c>
      <c r="E19" s="16">
        <v>14.5</v>
      </c>
      <c r="F19" s="17">
        <f t="shared" si="1"/>
        <v>2059</v>
      </c>
    </row>
    <row r="20" spans="2:6" hidden="1" outlineLevel="1" x14ac:dyDescent="0.25">
      <c r="B20" s="13">
        <v>42535</v>
      </c>
      <c r="C20" s="14">
        <f t="shared" si="0"/>
        <v>6</v>
      </c>
      <c r="D20" s="15">
        <v>193</v>
      </c>
      <c r="E20" s="16">
        <v>9.99</v>
      </c>
      <c r="F20" s="17">
        <f t="shared" si="1"/>
        <v>1928.07</v>
      </c>
    </row>
    <row r="21" spans="2:6" hidden="1" outlineLevel="1" x14ac:dyDescent="0.25">
      <c r="B21" s="13">
        <v>42538</v>
      </c>
      <c r="C21" s="14">
        <f t="shared" si="0"/>
        <v>6</v>
      </c>
      <c r="D21" s="15">
        <v>205</v>
      </c>
      <c r="E21" s="16">
        <v>9</v>
      </c>
      <c r="F21" s="17">
        <f t="shared" si="1"/>
        <v>1845</v>
      </c>
    </row>
    <row r="22" spans="2:6" hidden="1" outlineLevel="1" x14ac:dyDescent="0.25">
      <c r="B22" s="13">
        <v>42538</v>
      </c>
      <c r="C22" s="14">
        <f t="shared" si="0"/>
        <v>6</v>
      </c>
      <c r="D22" s="15">
        <v>199</v>
      </c>
      <c r="E22" s="16">
        <v>9</v>
      </c>
      <c r="F22" s="17">
        <f t="shared" si="1"/>
        <v>1791</v>
      </c>
    </row>
    <row r="23" spans="2:6" hidden="1" outlineLevel="1" x14ac:dyDescent="0.25">
      <c r="B23" s="13">
        <v>42534</v>
      </c>
      <c r="C23" s="14">
        <f t="shared" si="0"/>
        <v>6</v>
      </c>
      <c r="D23" s="15">
        <v>188</v>
      </c>
      <c r="E23" s="16">
        <v>9</v>
      </c>
      <c r="F23" s="17">
        <f t="shared" si="1"/>
        <v>1692</v>
      </c>
    </row>
    <row r="24" spans="2:6" ht="13" hidden="1" outlineLevel="1" x14ac:dyDescent="0.3">
      <c r="B24"/>
    </row>
    <row r="25" spans="2:6" ht="13" hidden="1" outlineLevel="1" x14ac:dyDescent="0.3">
      <c r="B25"/>
    </row>
    <row r="26" spans="2:6" ht="13" hidden="1" outlineLevel="1" x14ac:dyDescent="0.3">
      <c r="B26"/>
    </row>
    <row r="27" spans="2:6" ht="13" hidden="1" outlineLevel="1" x14ac:dyDescent="0.3">
      <c r="B27"/>
    </row>
    <row r="28" spans="2:6" ht="13" hidden="1" outlineLevel="1" x14ac:dyDescent="0.3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ht="13" hidden="1" outlineLevel="1" x14ac:dyDescent="0.3">
      <c r="B29" s="9" t="s">
        <v>64</v>
      </c>
      <c r="C29" s="10" t="s">
        <v>65</v>
      </c>
      <c r="D29" s="11" t="s">
        <v>65</v>
      </c>
      <c r="E29" s="12" t="s">
        <v>66</v>
      </c>
      <c r="F29" s="12" t="s">
        <v>66</v>
      </c>
    </row>
    <row r="30" spans="2:6" hidden="1" outlineLevel="1" x14ac:dyDescent="0.25">
      <c r="B30" s="13"/>
      <c r="C30" s="14"/>
      <c r="D30" s="15"/>
      <c r="E30" s="16"/>
      <c r="F30" s="17"/>
    </row>
    <row r="31" spans="2:6" hidden="1" outlineLevel="1" x14ac:dyDescent="0.25">
      <c r="B31" s="13"/>
      <c r="C31" s="14"/>
      <c r="D31" s="15"/>
      <c r="E31" s="16"/>
      <c r="F31" s="17"/>
    </row>
    <row r="32" spans="2:6" hidden="1" outlineLevel="1" x14ac:dyDescent="0.25">
      <c r="B32" s="13"/>
      <c r="C32" s="14"/>
      <c r="D32" s="15"/>
      <c r="E32" s="16"/>
      <c r="F32" s="17"/>
    </row>
    <row r="33" spans="2:7" hidden="1" outlineLevel="1" x14ac:dyDescent="0.25">
      <c r="B33" s="13"/>
      <c r="C33" s="14"/>
      <c r="D33" s="15"/>
      <c r="E33" s="16"/>
      <c r="F33" s="17"/>
    </row>
    <row r="34" spans="2:7" hidden="1" outlineLevel="1" x14ac:dyDescent="0.25">
      <c r="B34" s="13"/>
      <c r="C34" s="14"/>
      <c r="D34" s="15"/>
      <c r="E34" s="16"/>
      <c r="F34" s="17"/>
    </row>
    <row r="35" spans="2:7" hidden="1" outlineLevel="1" x14ac:dyDescent="0.25">
      <c r="B35" s="13"/>
      <c r="C35" s="14"/>
      <c r="D35" s="15"/>
      <c r="E35" s="16"/>
      <c r="F35" s="17"/>
    </row>
    <row r="36" spans="2:7" hidden="1" outlineLevel="1" x14ac:dyDescent="0.25">
      <c r="B36" s="13"/>
      <c r="C36" s="14"/>
      <c r="D36" s="15"/>
      <c r="E36" s="16"/>
      <c r="F36" s="17"/>
    </row>
    <row r="37" spans="2:7" hidden="1" outlineLevel="1" x14ac:dyDescent="0.25"/>
    <row r="38" spans="2:7" ht="18.5" collapsed="1" x14ac:dyDescent="0.45">
      <c r="B38" s="4" t="s">
        <v>112</v>
      </c>
    </row>
    <row r="39" spans="2:7" ht="18.5" hidden="1" outlineLevel="1" x14ac:dyDescent="0.45">
      <c r="B39" s="4"/>
    </row>
    <row r="40" spans="2:7" hidden="1" outlineLevel="1" x14ac:dyDescent="0.25">
      <c r="B40" s="2" t="s">
        <v>144</v>
      </c>
    </row>
    <row r="41" spans="2:7" hidden="1" outlineLevel="1" x14ac:dyDescent="0.25">
      <c r="B41" s="2" t="s">
        <v>67</v>
      </c>
    </row>
    <row r="42" spans="2:7" hidden="1" outlineLevel="1" x14ac:dyDescent="0.25"/>
    <row r="43" spans="2:7" ht="13" hidden="1" outlineLevel="1" x14ac:dyDescent="0.3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hidden="1" outlineLevel="1" x14ac:dyDescent="0.25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hidden="1" outlineLevel="1" x14ac:dyDescent="0.25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hidden="1" outlineLevel="1" x14ac:dyDescent="0.25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hidden="1" outlineLevel="1" x14ac:dyDescent="0.25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hidden="1" outlineLevel="1" x14ac:dyDescent="0.25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hidden="1" outlineLevel="1" x14ac:dyDescent="0.25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hidden="1" outlineLevel="1" x14ac:dyDescent="0.25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hidden="1" outlineLevel="1" x14ac:dyDescent="0.25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ht="13" hidden="1" outlineLevel="1" x14ac:dyDescent="0.3">
      <c r="B52"/>
    </row>
    <row r="53" spans="2:12" ht="13" hidden="1" outlineLevel="1" x14ac:dyDescent="0.3">
      <c r="B53"/>
    </row>
    <row r="54" spans="2:12" ht="13" hidden="1" outlineLevel="1" x14ac:dyDescent="0.3">
      <c r="B54"/>
    </row>
    <row r="55" spans="2:12" ht="13" hidden="1" outlineLevel="1" x14ac:dyDescent="0.3">
      <c r="B55"/>
    </row>
    <row r="56" spans="2:12" ht="13" hidden="1" outlineLevel="1" x14ac:dyDescent="0.3">
      <c r="B56"/>
    </row>
    <row r="57" spans="2:12" ht="13" hidden="1" outlineLevel="1" x14ac:dyDescent="0.3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ht="13" hidden="1" outlineLevel="1" x14ac:dyDescent="0.3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hidden="1" outlineLevel="1" x14ac:dyDescent="0.25">
      <c r="B59" s="19"/>
      <c r="C59" s="19"/>
      <c r="D59" s="19"/>
      <c r="E59" s="13"/>
      <c r="F59" s="15"/>
      <c r="G59" s="24"/>
      <c r="I59" s="2" t="s">
        <v>71</v>
      </c>
      <c r="K59" s="2" t="s">
        <v>73</v>
      </c>
      <c r="L59" s="2" t="s">
        <v>74</v>
      </c>
    </row>
    <row r="60" spans="2:12" hidden="1" outlineLevel="1" x14ac:dyDescent="0.25">
      <c r="B60" s="19"/>
      <c r="C60" s="19"/>
      <c r="D60" s="19"/>
      <c r="E60" s="23"/>
      <c r="F60" s="15"/>
      <c r="G60" s="24"/>
      <c r="I60" s="2" t="s">
        <v>75</v>
      </c>
      <c r="K60" s="2" t="s">
        <v>85</v>
      </c>
      <c r="L60" s="2" t="s">
        <v>76</v>
      </c>
    </row>
    <row r="61" spans="2:12" hidden="1" outlineLevel="1" x14ac:dyDescent="0.25">
      <c r="B61" s="19"/>
      <c r="C61" s="22"/>
      <c r="D61" s="19"/>
      <c r="E61" s="23"/>
      <c r="F61" s="15"/>
      <c r="G61" s="24"/>
      <c r="I61" s="2" t="s">
        <v>77</v>
      </c>
      <c r="K61" s="2" t="s">
        <v>87</v>
      </c>
      <c r="L61" s="2" t="s">
        <v>78</v>
      </c>
    </row>
    <row r="62" spans="2:12" hidden="1" outlineLevel="1" x14ac:dyDescent="0.25">
      <c r="B62" s="21"/>
      <c r="C62" s="22"/>
      <c r="D62" s="19"/>
      <c r="E62" s="23"/>
      <c r="F62" s="15"/>
      <c r="G62" s="24"/>
      <c r="I62" s="2" t="s">
        <v>79</v>
      </c>
      <c r="K62" s="2" t="s">
        <v>89</v>
      </c>
    </row>
    <row r="63" spans="2:12" hidden="1" outlineLevel="1" x14ac:dyDescent="0.25">
      <c r="B63" s="19"/>
      <c r="C63" s="20"/>
      <c r="D63" s="19"/>
      <c r="E63" s="23"/>
      <c r="F63" s="15"/>
      <c r="G63" s="24"/>
      <c r="I63" s="2" t="s">
        <v>80</v>
      </c>
    </row>
    <row r="64" spans="2:12" hidden="1" outlineLevel="1" x14ac:dyDescent="0.25">
      <c r="B64" s="19"/>
      <c r="C64" s="20"/>
      <c r="D64" s="19"/>
      <c r="E64" s="13"/>
      <c r="F64" s="15"/>
      <c r="G64" s="24"/>
      <c r="I64" s="2" t="s">
        <v>81</v>
      </c>
    </row>
    <row r="65" spans="2:9" hidden="1" outlineLevel="1" x14ac:dyDescent="0.25">
      <c r="B65" s="19"/>
      <c r="C65" s="20"/>
      <c r="D65" s="19"/>
      <c r="E65" s="13"/>
      <c r="F65" s="15"/>
      <c r="G65" s="24"/>
      <c r="I65" s="2" t="s">
        <v>82</v>
      </c>
    </row>
    <row r="66" spans="2:9" hidden="1" outlineLevel="1" x14ac:dyDescent="0.25">
      <c r="B66" s="22"/>
      <c r="C66" s="22"/>
      <c r="D66" s="19"/>
      <c r="E66" s="13"/>
      <c r="F66" s="15"/>
      <c r="G66" s="24"/>
      <c r="I66" s="2" t="s">
        <v>83</v>
      </c>
    </row>
    <row r="67" spans="2:9" collapsed="1" x14ac:dyDescent="0.25"/>
  </sheetData>
  <dataConsolidate/>
  <conditionalFormatting sqref="B30:F36 B44:G51">
    <cfRule type="expression" dxfId="5" priority="2">
      <formula>MOD(ROW(B30),2)</formula>
    </cfRule>
  </conditionalFormatting>
  <conditionalFormatting sqref="B13:F23">
    <cfRule type="expression" dxfId="4" priority="3">
      <formula>MOD(ROW(B13),2)</formula>
    </cfRule>
  </conditionalFormatting>
  <conditionalFormatting sqref="B59:G66">
    <cfRule type="expression" dxfId="3" priority="1">
      <formula>MOD(ROW(B59),2)</formula>
    </cfRule>
  </conditionalFormatting>
  <dataValidations count="4">
    <dataValidation type="decimal" operator="greaterThan" allowBlank="1" showInputMessage="1" showErrorMessage="1" sqref="E30:F36">
      <formula1>0</formula1>
    </dataValidation>
    <dataValidation type="whole" operator="greaterThan" allowBlank="1" showInputMessage="1" showErrorMessage="1" sqref="D30:D36">
      <formula1>0</formula1>
    </dataValidation>
    <dataValidation type="whole" allowBlank="1" showInputMessage="1" showErrorMessage="1" sqref="C30:C36">
      <formula1>0</formula1>
      <formula2>12</formula2>
    </dataValidation>
    <dataValidation type="date" operator="greaterThan" allowBlank="1" showInputMessage="1" showErrorMessage="1" sqref="B30:B36">
      <formula1>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Valid_Send_To_1A">
                <anchor moveWithCells="1" sizeWithCells="1">
                  <from>
                    <xdr:col>6</xdr:col>
                    <xdr:colOff>565150</xdr:colOff>
                    <xdr:row>25</xdr:row>
                    <xdr:rowOff>152400</xdr:rowOff>
                  </from>
                  <to>
                    <xdr:col>7</xdr:col>
                    <xdr:colOff>488950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Valid_Send_To_1B">
                <anchor moveWithCells="1" sizeWithCells="1">
                  <from>
                    <xdr:col>7</xdr:col>
                    <xdr:colOff>533400</xdr:colOff>
                    <xdr:row>47</xdr:row>
                    <xdr:rowOff>69850</xdr:rowOff>
                  </from>
                  <to>
                    <xdr:col>10</xdr:col>
                    <xdr:colOff>146050</xdr:colOff>
                    <xdr:row>50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/>
  </sheetPr>
  <dimension ref="A1:P66"/>
  <sheetViews>
    <sheetView showGridLines="0" topLeftCell="A26" zoomScale="80" workbookViewId="0">
      <selection activeCell="I46" sqref="I46"/>
    </sheetView>
  </sheetViews>
  <sheetFormatPr defaultColWidth="9.33203125" defaultRowHeight="12.5" outlineLevelRow="1" x14ac:dyDescent="0.25"/>
  <cols>
    <col min="1" max="1" width="9.33203125" style="2"/>
    <col min="2" max="2" width="20" style="2" customWidth="1"/>
    <col min="3" max="3" width="27.33203125" style="2" customWidth="1"/>
    <col min="4" max="4" width="30.77734375" style="2" customWidth="1"/>
    <col min="5" max="5" width="29.109375" style="2" customWidth="1"/>
    <col min="6" max="6" width="30.33203125" style="2" customWidth="1"/>
    <col min="7" max="7" width="31.6640625" style="2" customWidth="1"/>
    <col min="8" max="8" width="15.33203125" style="2" customWidth="1"/>
    <col min="9" max="9" width="12.6640625" style="2" customWidth="1"/>
    <col min="10" max="10" width="9.33203125" style="2"/>
    <col min="11" max="11" width="16" style="2" customWidth="1"/>
    <col min="12" max="16384" width="9.33203125" style="2"/>
  </cols>
  <sheetData>
    <row r="1" spans="1:16" ht="13" x14ac:dyDescent="0.3">
      <c r="A1" s="3" t="str">
        <f>Introduction!A1</f>
        <v xml:space="preserve">Problem Solving with Excel </v>
      </c>
    </row>
    <row r="2" spans="1:16" ht="13" x14ac:dyDescent="0.3">
      <c r="A2" s="3" t="str">
        <f>Introduction!A2</f>
        <v>Week 2</v>
      </c>
    </row>
    <row r="3" spans="1:16" ht="13" x14ac:dyDescent="0.3">
      <c r="A3" s="3" t="str">
        <f>Introduction!A3</f>
        <v>Data Cleansing - Text Functions</v>
      </c>
    </row>
    <row r="4" spans="1:16" ht="13" x14ac:dyDescent="0.3">
      <c r="A4" s="3"/>
    </row>
    <row r="5" spans="1:16" x14ac:dyDescent="0.25">
      <c r="P5" s="5"/>
    </row>
    <row r="7" spans="1:16" ht="18.5" x14ac:dyDescent="0.45">
      <c r="B7" s="4" t="s">
        <v>111</v>
      </c>
    </row>
    <row r="8" spans="1:16" outlineLevel="1" x14ac:dyDescent="0.25"/>
    <row r="9" spans="1:16" outlineLevel="1" x14ac:dyDescent="0.25">
      <c r="B9" s="2" t="s">
        <v>106</v>
      </c>
    </row>
    <row r="10" spans="1:16" ht="12.75" customHeight="1" outlineLevel="1" x14ac:dyDescent="0.25">
      <c r="B10" s="2" t="s">
        <v>103</v>
      </c>
    </row>
    <row r="11" spans="1:16" outlineLevel="1" x14ac:dyDescent="0.25"/>
    <row r="12" spans="1:16" ht="13" outlineLevel="1" x14ac:dyDescent="0.3">
      <c r="B12" s="9" t="s">
        <v>59</v>
      </c>
      <c r="C12" s="10" t="s">
        <v>60</v>
      </c>
      <c r="D12" s="11" t="s">
        <v>61</v>
      </c>
      <c r="E12" s="12" t="s">
        <v>62</v>
      </c>
      <c r="F12" s="12" t="s">
        <v>63</v>
      </c>
    </row>
    <row r="13" spans="1:16" outlineLevel="1" x14ac:dyDescent="0.25">
      <c r="B13" s="13">
        <v>42535</v>
      </c>
      <c r="C13" s="14">
        <f>VALUE(MONTH(B13))</f>
        <v>6</v>
      </c>
      <c r="D13" s="15">
        <v>208</v>
      </c>
      <c r="E13" s="16">
        <v>14.5</v>
      </c>
      <c r="F13" s="17">
        <f t="shared" ref="F13:F23" si="0">E13*D13</f>
        <v>3016</v>
      </c>
    </row>
    <row r="14" spans="1:16" outlineLevel="1" x14ac:dyDescent="0.25">
      <c r="B14" s="13">
        <v>42553</v>
      </c>
      <c r="C14" s="14">
        <f>VALUE(MONTH(B14))</f>
        <v>7</v>
      </c>
      <c r="D14" s="15">
        <v>197</v>
      </c>
      <c r="E14" s="16">
        <v>14.5</v>
      </c>
      <c r="F14" s="17">
        <f t="shared" si="0"/>
        <v>2856.5</v>
      </c>
    </row>
    <row r="15" spans="1:16" outlineLevel="1" x14ac:dyDescent="0.25">
      <c r="B15" s="13">
        <v>42536</v>
      </c>
      <c r="C15" s="14">
        <f t="shared" ref="C15:C23" si="1">VALUE(MONTH(B15))</f>
        <v>6</v>
      </c>
      <c r="D15" s="15">
        <v>176</v>
      </c>
      <c r="E15" s="16">
        <v>14.5</v>
      </c>
      <c r="F15" s="17">
        <f t="shared" si="0"/>
        <v>2552</v>
      </c>
    </row>
    <row r="16" spans="1:16" outlineLevel="1" x14ac:dyDescent="0.25">
      <c r="B16" s="13">
        <v>42531</v>
      </c>
      <c r="C16" s="14">
        <f t="shared" si="1"/>
        <v>6</v>
      </c>
      <c r="D16" s="15">
        <v>168</v>
      </c>
      <c r="E16" s="16">
        <v>14.5</v>
      </c>
      <c r="F16" s="17">
        <f t="shared" si="0"/>
        <v>2436</v>
      </c>
    </row>
    <row r="17" spans="2:6" outlineLevel="1" x14ac:dyDescent="0.25">
      <c r="B17" s="13">
        <v>42536</v>
      </c>
      <c r="C17" s="14">
        <f t="shared" si="1"/>
        <v>6</v>
      </c>
      <c r="D17" s="15">
        <v>166</v>
      </c>
      <c r="E17" s="16">
        <v>14.5</v>
      </c>
      <c r="F17" s="17">
        <f t="shared" si="0"/>
        <v>2407</v>
      </c>
    </row>
    <row r="18" spans="2:6" outlineLevel="1" x14ac:dyDescent="0.25">
      <c r="B18" s="13">
        <v>42539</v>
      </c>
      <c r="C18" s="14">
        <f t="shared" si="1"/>
        <v>6</v>
      </c>
      <c r="D18" s="15">
        <v>157</v>
      </c>
      <c r="E18" s="16">
        <v>14.5</v>
      </c>
      <c r="F18" s="17">
        <f t="shared" si="0"/>
        <v>2276.5</v>
      </c>
    </row>
    <row r="19" spans="2:6" outlineLevel="1" x14ac:dyDescent="0.25">
      <c r="B19" s="13">
        <v>42545</v>
      </c>
      <c r="C19" s="14">
        <f t="shared" si="1"/>
        <v>6</v>
      </c>
      <c r="D19" s="15">
        <v>142</v>
      </c>
      <c r="E19" s="16">
        <v>14.5</v>
      </c>
      <c r="F19" s="17">
        <f t="shared" si="0"/>
        <v>2059</v>
      </c>
    </row>
    <row r="20" spans="2:6" outlineLevel="1" x14ac:dyDescent="0.25">
      <c r="B20" s="13">
        <v>42535</v>
      </c>
      <c r="C20" s="14">
        <f t="shared" si="1"/>
        <v>6</v>
      </c>
      <c r="D20" s="15">
        <v>193</v>
      </c>
      <c r="E20" s="16">
        <v>9.99</v>
      </c>
      <c r="F20" s="17">
        <f t="shared" si="0"/>
        <v>1928.07</v>
      </c>
    </row>
    <row r="21" spans="2:6" outlineLevel="1" x14ac:dyDescent="0.25">
      <c r="B21" s="13">
        <v>42538</v>
      </c>
      <c r="C21" s="14">
        <f t="shared" si="1"/>
        <v>6</v>
      </c>
      <c r="D21" s="15">
        <v>205</v>
      </c>
      <c r="E21" s="16">
        <v>9</v>
      </c>
      <c r="F21" s="17">
        <f t="shared" si="0"/>
        <v>1845</v>
      </c>
    </row>
    <row r="22" spans="2:6" ht="12.75" customHeight="1" outlineLevel="1" x14ac:dyDescent="0.25">
      <c r="B22" s="13">
        <v>42538</v>
      </c>
      <c r="C22" s="14">
        <f t="shared" si="1"/>
        <v>6</v>
      </c>
      <c r="D22" s="15">
        <v>199</v>
      </c>
      <c r="E22" s="16">
        <v>9</v>
      </c>
      <c r="F22" s="17">
        <f t="shared" si="0"/>
        <v>1791</v>
      </c>
    </row>
    <row r="23" spans="2:6" outlineLevel="1" x14ac:dyDescent="0.25">
      <c r="B23" s="13">
        <v>42534</v>
      </c>
      <c r="C23" s="14">
        <f t="shared" si="1"/>
        <v>6</v>
      </c>
      <c r="D23" s="15">
        <v>188</v>
      </c>
      <c r="E23" s="16">
        <v>9</v>
      </c>
      <c r="F23" s="17">
        <f t="shared" si="0"/>
        <v>1692</v>
      </c>
    </row>
    <row r="24" spans="2:6" outlineLevel="1" x14ac:dyDescent="0.25"/>
    <row r="25" spans="2:6" outlineLevel="1" x14ac:dyDescent="0.25"/>
    <row r="26" spans="2:6" outlineLevel="1" x14ac:dyDescent="0.25"/>
    <row r="27" spans="2:6" ht="15.5" outlineLevel="1" x14ac:dyDescent="0.35">
      <c r="B27" s="25"/>
    </row>
    <row r="28" spans="2:6" ht="13" outlineLevel="1" x14ac:dyDescent="0.3">
      <c r="B28" s="9" t="s">
        <v>59</v>
      </c>
      <c r="C28" s="10" t="s">
        <v>60</v>
      </c>
      <c r="D28" s="11" t="s">
        <v>61</v>
      </c>
      <c r="E28" s="12" t="s">
        <v>62</v>
      </c>
      <c r="F28" s="12" t="s">
        <v>63</v>
      </c>
    </row>
    <row r="29" spans="2:6" ht="13" outlineLevel="1" x14ac:dyDescent="0.3">
      <c r="B29" s="9" t="s">
        <v>64</v>
      </c>
      <c r="C29" s="10" t="s">
        <v>65</v>
      </c>
      <c r="D29" s="11" t="s">
        <v>65</v>
      </c>
      <c r="E29" s="12" t="s">
        <v>98</v>
      </c>
      <c r="F29" s="12" t="s">
        <v>66</v>
      </c>
    </row>
    <row r="30" spans="2:6" outlineLevel="1" x14ac:dyDescent="0.25">
      <c r="B30" s="13">
        <v>42535</v>
      </c>
      <c r="C30" s="14">
        <v>6</v>
      </c>
      <c r="D30" s="15">
        <v>208</v>
      </c>
      <c r="E30" s="16">
        <v>14.5</v>
      </c>
      <c r="F30" s="17">
        <v>3016</v>
      </c>
    </row>
    <row r="31" spans="2:6" outlineLevel="1" x14ac:dyDescent="0.25">
      <c r="B31" s="13"/>
      <c r="C31" s="14"/>
      <c r="D31" s="15"/>
      <c r="E31" s="16"/>
      <c r="F31" s="17"/>
    </row>
    <row r="32" spans="2:6" outlineLevel="1" x14ac:dyDescent="0.25">
      <c r="B32" s="13"/>
      <c r="C32" s="14"/>
      <c r="D32" s="15"/>
      <c r="E32" s="16"/>
      <c r="F32" s="17"/>
    </row>
    <row r="33" spans="2:7" outlineLevel="1" x14ac:dyDescent="0.25">
      <c r="B33" s="13"/>
      <c r="C33" s="14"/>
      <c r="D33" s="15"/>
      <c r="E33" s="16"/>
      <c r="F33" s="17"/>
    </row>
    <row r="34" spans="2:7" outlineLevel="1" x14ac:dyDescent="0.25">
      <c r="B34" s="13"/>
      <c r="C34" s="14"/>
      <c r="D34" s="15"/>
      <c r="E34" s="16"/>
      <c r="F34" s="17"/>
    </row>
    <row r="35" spans="2:7" outlineLevel="1" x14ac:dyDescent="0.25">
      <c r="B35" s="13"/>
      <c r="C35" s="14"/>
      <c r="D35" s="15"/>
      <c r="E35" s="16"/>
      <c r="F35" s="17"/>
    </row>
    <row r="36" spans="2:7" outlineLevel="1" x14ac:dyDescent="0.25">
      <c r="B36" s="13"/>
      <c r="C36" s="14"/>
      <c r="D36" s="15"/>
      <c r="E36" s="16"/>
      <c r="F36" s="17"/>
    </row>
    <row r="37" spans="2:7" outlineLevel="1" x14ac:dyDescent="0.25"/>
    <row r="38" spans="2:7" ht="18.5" x14ac:dyDescent="0.45">
      <c r="B38" s="4" t="s">
        <v>116</v>
      </c>
    </row>
    <row r="39" spans="2:7" ht="18.5" outlineLevel="1" x14ac:dyDescent="0.45">
      <c r="B39" s="4"/>
    </row>
    <row r="40" spans="2:7" outlineLevel="1" x14ac:dyDescent="0.25">
      <c r="B40" s="2" t="s">
        <v>102</v>
      </c>
    </row>
    <row r="41" spans="2:7" outlineLevel="1" x14ac:dyDescent="0.25">
      <c r="B41" s="2" t="s">
        <v>67</v>
      </c>
    </row>
    <row r="42" spans="2:7" ht="12.75" customHeight="1" outlineLevel="1" x14ac:dyDescent="0.25"/>
    <row r="43" spans="2:7" ht="13" outlineLevel="1" x14ac:dyDescent="0.3">
      <c r="B43" s="18" t="s">
        <v>68</v>
      </c>
      <c r="C43" s="18" t="s">
        <v>69</v>
      </c>
      <c r="D43" s="9" t="s">
        <v>70</v>
      </c>
      <c r="E43" s="9" t="s">
        <v>59</v>
      </c>
      <c r="F43" s="11" t="s">
        <v>61</v>
      </c>
      <c r="G43" s="12" t="s">
        <v>63</v>
      </c>
    </row>
    <row r="44" spans="2:7" outlineLevel="1" x14ac:dyDescent="0.25">
      <c r="B44" s="19" t="s">
        <v>71</v>
      </c>
      <c r="C44" s="19" t="s">
        <v>72</v>
      </c>
      <c r="D44" s="19" t="s">
        <v>74</v>
      </c>
      <c r="E44" s="13" t="s">
        <v>92</v>
      </c>
      <c r="F44" s="15">
        <v>208</v>
      </c>
      <c r="G44" s="24">
        <v>3016</v>
      </c>
    </row>
    <row r="45" spans="2:7" outlineLevel="1" x14ac:dyDescent="0.25">
      <c r="B45" s="19" t="s">
        <v>75</v>
      </c>
      <c r="C45" s="19" t="s">
        <v>73</v>
      </c>
      <c r="D45" s="19" t="s">
        <v>76</v>
      </c>
      <c r="E45" s="23" t="s">
        <v>93</v>
      </c>
      <c r="F45" s="15" t="s">
        <v>90</v>
      </c>
      <c r="G45" s="24">
        <v>2856.5</v>
      </c>
    </row>
    <row r="46" spans="2:7" outlineLevel="1" x14ac:dyDescent="0.25">
      <c r="B46" s="19" t="s">
        <v>77</v>
      </c>
      <c r="C46" s="22" t="s">
        <v>84</v>
      </c>
      <c r="D46" s="19" t="s">
        <v>78</v>
      </c>
      <c r="E46" s="23" t="s">
        <v>94</v>
      </c>
      <c r="F46" s="15" t="s">
        <v>91</v>
      </c>
      <c r="G46" s="24">
        <v>2552</v>
      </c>
    </row>
    <row r="47" spans="2:7" outlineLevel="1" x14ac:dyDescent="0.25">
      <c r="B47" s="21" t="s">
        <v>79</v>
      </c>
      <c r="C47" s="22" t="s">
        <v>85</v>
      </c>
      <c r="D47" s="19" t="s">
        <v>76</v>
      </c>
      <c r="E47" s="23" t="s">
        <v>95</v>
      </c>
      <c r="F47" s="15">
        <v>168</v>
      </c>
      <c r="G47" s="24">
        <v>2436</v>
      </c>
    </row>
    <row r="48" spans="2:7" outlineLevel="1" x14ac:dyDescent="0.25">
      <c r="B48" s="19" t="s">
        <v>80</v>
      </c>
      <c r="C48" s="20" t="s">
        <v>87</v>
      </c>
      <c r="D48" s="19" t="s">
        <v>78</v>
      </c>
      <c r="E48" s="23" t="s">
        <v>96</v>
      </c>
      <c r="F48" s="15">
        <v>166</v>
      </c>
      <c r="G48" s="24">
        <v>2407</v>
      </c>
    </row>
    <row r="49" spans="2:12" outlineLevel="1" x14ac:dyDescent="0.25">
      <c r="B49" s="19" t="s">
        <v>81</v>
      </c>
      <c r="C49" s="20" t="s">
        <v>86</v>
      </c>
      <c r="D49" s="19" t="s">
        <v>74</v>
      </c>
      <c r="E49" s="13" t="s">
        <v>97</v>
      </c>
      <c r="F49" s="15">
        <v>157</v>
      </c>
      <c r="G49" s="24">
        <v>2276.5</v>
      </c>
    </row>
    <row r="50" spans="2:12" outlineLevel="1" x14ac:dyDescent="0.25">
      <c r="B50" s="19" t="s">
        <v>82</v>
      </c>
      <c r="C50" s="20" t="s">
        <v>88</v>
      </c>
      <c r="D50" s="19" t="s">
        <v>74</v>
      </c>
      <c r="E50" s="13">
        <v>42545</v>
      </c>
      <c r="F50" s="15">
        <v>142</v>
      </c>
      <c r="G50" s="24">
        <v>2059</v>
      </c>
    </row>
    <row r="51" spans="2:12" outlineLevel="1" x14ac:dyDescent="0.25">
      <c r="B51" s="22" t="s">
        <v>83</v>
      </c>
      <c r="C51" s="22" t="s">
        <v>89</v>
      </c>
      <c r="D51" s="19" t="s">
        <v>78</v>
      </c>
      <c r="E51" s="13">
        <v>42535</v>
      </c>
      <c r="F51" s="15">
        <v>193</v>
      </c>
      <c r="G51" s="24">
        <v>1692</v>
      </c>
    </row>
    <row r="52" spans="2:12" outlineLevel="1" x14ac:dyDescent="0.25"/>
    <row r="53" spans="2:12" outlineLevel="1" x14ac:dyDescent="0.25"/>
    <row r="54" spans="2:12" outlineLevel="1" x14ac:dyDescent="0.25"/>
    <row r="55" spans="2:12" outlineLevel="1" x14ac:dyDescent="0.25"/>
    <row r="56" spans="2:12" outlineLevel="1" x14ac:dyDescent="0.25"/>
    <row r="57" spans="2:12" ht="13" outlineLevel="1" x14ac:dyDescent="0.3">
      <c r="B57" s="18" t="s">
        <v>68</v>
      </c>
      <c r="C57" s="18" t="s">
        <v>69</v>
      </c>
      <c r="D57" s="9" t="s">
        <v>70</v>
      </c>
      <c r="E57" s="9" t="s">
        <v>59</v>
      </c>
      <c r="F57" s="11" t="s">
        <v>61</v>
      </c>
      <c r="G57" s="12" t="s">
        <v>63</v>
      </c>
    </row>
    <row r="58" spans="2:12" ht="13" outlineLevel="1" x14ac:dyDescent="0.3">
      <c r="B58" s="18" t="s">
        <v>98</v>
      </c>
      <c r="C58" s="18" t="s">
        <v>98</v>
      </c>
      <c r="D58" s="9" t="s">
        <v>98</v>
      </c>
      <c r="E58" s="9" t="s">
        <v>64</v>
      </c>
      <c r="F58" s="11" t="s">
        <v>65</v>
      </c>
      <c r="G58" s="12" t="s">
        <v>99</v>
      </c>
      <c r="I58" s="2" t="s">
        <v>100</v>
      </c>
      <c r="K58" s="2" t="s">
        <v>101</v>
      </c>
      <c r="L58" s="2" t="s">
        <v>70</v>
      </c>
    </row>
    <row r="59" spans="2:12" outlineLevel="1" x14ac:dyDescent="0.25">
      <c r="B59" s="19" t="s">
        <v>71</v>
      </c>
      <c r="C59" s="19" t="s">
        <v>73</v>
      </c>
      <c r="D59" s="19" t="s">
        <v>74</v>
      </c>
      <c r="E59" s="13">
        <v>42552</v>
      </c>
      <c r="F59" s="15">
        <v>208</v>
      </c>
      <c r="G59" s="24">
        <v>3016</v>
      </c>
      <c r="I59" s="2" t="s">
        <v>71</v>
      </c>
      <c r="K59" s="2" t="s">
        <v>73</v>
      </c>
      <c r="L59" s="2" t="s">
        <v>74</v>
      </c>
    </row>
    <row r="60" spans="2:12" outlineLevel="1" x14ac:dyDescent="0.25">
      <c r="B60" s="19" t="s">
        <v>75</v>
      </c>
      <c r="C60" s="19" t="s">
        <v>73</v>
      </c>
      <c r="D60" s="19" t="s">
        <v>76</v>
      </c>
      <c r="E60" s="23">
        <v>42565</v>
      </c>
      <c r="F60" s="15">
        <v>199</v>
      </c>
      <c r="G60" s="24">
        <v>2856.5</v>
      </c>
      <c r="I60" s="2" t="s">
        <v>75</v>
      </c>
      <c r="K60" s="2" t="s">
        <v>85</v>
      </c>
      <c r="L60" s="2" t="s">
        <v>76</v>
      </c>
    </row>
    <row r="61" spans="2:12" outlineLevel="1" x14ac:dyDescent="0.25">
      <c r="B61" s="19" t="s">
        <v>77</v>
      </c>
      <c r="C61" s="22" t="s">
        <v>85</v>
      </c>
      <c r="D61" s="19" t="s">
        <v>78</v>
      </c>
      <c r="E61" s="23">
        <v>42536</v>
      </c>
      <c r="F61" s="15">
        <v>75</v>
      </c>
      <c r="G61" s="24">
        <v>2552</v>
      </c>
      <c r="I61" s="2" t="s">
        <v>77</v>
      </c>
      <c r="K61" s="2" t="s">
        <v>87</v>
      </c>
    </row>
    <row r="62" spans="2:12" outlineLevel="1" x14ac:dyDescent="0.25">
      <c r="B62" s="21" t="s">
        <v>79</v>
      </c>
      <c r="C62" s="22" t="s">
        <v>85</v>
      </c>
      <c r="D62" s="19" t="s">
        <v>76</v>
      </c>
      <c r="E62" s="23">
        <v>42505</v>
      </c>
      <c r="F62" s="15">
        <v>168</v>
      </c>
      <c r="G62" s="24">
        <v>2436</v>
      </c>
      <c r="I62" s="2" t="s">
        <v>79</v>
      </c>
      <c r="K62" s="2" t="s">
        <v>89</v>
      </c>
    </row>
    <row r="63" spans="2:12" outlineLevel="1" x14ac:dyDescent="0.25">
      <c r="B63" s="19" t="s">
        <v>80</v>
      </c>
      <c r="C63" s="20" t="s">
        <v>87</v>
      </c>
      <c r="D63" s="19" t="s">
        <v>78</v>
      </c>
      <c r="E63" s="23">
        <v>42416</v>
      </c>
      <c r="F63" s="15">
        <v>166</v>
      </c>
      <c r="G63" s="24">
        <v>2407</v>
      </c>
      <c r="I63" s="2" t="s">
        <v>80</v>
      </c>
    </row>
    <row r="64" spans="2:12" outlineLevel="1" x14ac:dyDescent="0.25">
      <c r="B64" s="19" t="s">
        <v>81</v>
      </c>
      <c r="C64" s="20" t="s">
        <v>87</v>
      </c>
      <c r="D64" s="19" t="s">
        <v>74</v>
      </c>
      <c r="E64" s="13">
        <v>42504</v>
      </c>
      <c r="F64" s="15">
        <v>157</v>
      </c>
      <c r="G64" s="24">
        <v>2276.5</v>
      </c>
      <c r="I64" s="2" t="s">
        <v>81</v>
      </c>
    </row>
    <row r="65" spans="2:9" outlineLevel="1" x14ac:dyDescent="0.25">
      <c r="B65" s="19" t="s">
        <v>82</v>
      </c>
      <c r="C65" s="20" t="s">
        <v>89</v>
      </c>
      <c r="D65" s="19" t="s">
        <v>74</v>
      </c>
      <c r="E65" s="13">
        <v>42545</v>
      </c>
      <c r="F65" s="15">
        <v>142</v>
      </c>
      <c r="G65" s="24">
        <v>2059</v>
      </c>
      <c r="I65" s="2" t="s">
        <v>82</v>
      </c>
    </row>
    <row r="66" spans="2:9" outlineLevel="1" x14ac:dyDescent="0.25">
      <c r="B66" s="22" t="s">
        <v>83</v>
      </c>
      <c r="C66" s="22" t="s">
        <v>89</v>
      </c>
      <c r="D66" s="19" t="s">
        <v>78</v>
      </c>
      <c r="E66" s="13">
        <v>42535</v>
      </c>
      <c r="F66" s="15">
        <v>193</v>
      </c>
      <c r="G66" s="24">
        <v>1692</v>
      </c>
      <c r="I66" s="2" t="s">
        <v>83</v>
      </c>
    </row>
  </sheetData>
  <dataConsolidate/>
  <conditionalFormatting sqref="B30:F36 B44:G51">
    <cfRule type="expression" dxfId="2" priority="3">
      <formula>MOD(ROW(B30),2)</formula>
    </cfRule>
  </conditionalFormatting>
  <conditionalFormatting sqref="B13:F23">
    <cfRule type="expression" dxfId="1" priority="4">
      <formula>MOD(ROW(B13),2)</formula>
    </cfRule>
  </conditionalFormatting>
  <conditionalFormatting sqref="B59:G66">
    <cfRule type="expression" dxfId="0" priority="1">
      <formula>MOD(ROW(B59),2)</formula>
    </cfRule>
  </conditionalFormatting>
  <dataValidations count="12">
    <dataValidation type="date" operator="greaterThan" allowBlank="1" showInputMessage="1" showErrorMessage="1" sqref="E59:E66">
      <formula1>1</formula1>
    </dataValidation>
    <dataValidation type="whole" allowBlank="1" showInputMessage="1" showErrorMessage="1" sqref="C30:C36">
      <formula1>0</formula1>
      <formula2>12</formula2>
    </dataValidation>
    <dataValidation type="whole" operator="greaterThan" allowBlank="1" showInputMessage="1" showErrorMessage="1" sqref="F59:F66 D36">
      <formula1>0</formula1>
    </dataValidation>
    <dataValidation type="decimal" operator="greaterThan" allowBlank="1" showInputMessage="1" showErrorMessage="1" sqref="E31:F36">
      <formula1>0</formula1>
    </dataValidation>
    <dataValidation type="list" allowBlank="1" showInputMessage="1" showErrorMessage="1" sqref="B59:B66">
      <formula1>salesmen</formula1>
    </dataValidation>
    <dataValidation type="list" allowBlank="1" showInputMessage="1" showErrorMessage="1" sqref="C59:C66">
      <formula1>products</formula1>
    </dataValidation>
    <dataValidation type="list" allowBlank="1" showInputMessage="1" showErrorMessage="1" sqref="D59:D66">
      <formula1>saleschannel</formula1>
    </dataValidation>
    <dataValidation type="date" allowBlank="1" showInputMessage="1" showErrorMessage="1" sqref="B36">
      <formula1>B22</formula1>
      <formula2>B19</formula2>
    </dataValidation>
    <dataValidation type="date" allowBlank="1" showInputMessage="1" showErrorMessage="1" sqref="B30:B35">
      <formula1>B16</formula1>
      <formula2>B14</formula2>
    </dataValidation>
    <dataValidation type="whole" operator="greaterThan" allowBlank="1" showInputMessage="1" showErrorMessage="1" sqref="D30:D35">
      <formula1>100</formula1>
    </dataValidation>
    <dataValidation type="list" operator="greaterThan" allowBlank="1" showInputMessage="1" showErrorMessage="1" sqref="E30">
      <formula1>$E$13:$E$23</formula1>
    </dataValidation>
    <dataValidation type="decimal" operator="greaterThan" allowBlank="1" showInputMessage="1" showErrorMessage="1" sqref="F30">
      <formula1>1000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Valid_Instruction_Send_To_1A">
                <anchor moveWithCells="1" sizeWithCells="1">
                  <from>
                    <xdr:col>6</xdr:col>
                    <xdr:colOff>679450</xdr:colOff>
                    <xdr:row>22</xdr:row>
                    <xdr:rowOff>12700</xdr:rowOff>
                  </from>
                  <to>
                    <xdr:col>7</xdr:col>
                    <xdr:colOff>603250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Valid_Instruction_Send_To_1B">
                <anchor moveWithCells="1" sizeWithCells="1">
                  <from>
                    <xdr:col>7</xdr:col>
                    <xdr:colOff>533400</xdr:colOff>
                    <xdr:row>49</xdr:row>
                    <xdr:rowOff>146050</xdr:rowOff>
                  </from>
                  <to>
                    <xdr:col>10</xdr:col>
                    <xdr:colOff>146050</xdr:colOff>
                    <xdr:row>53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Introduction</vt:lpstr>
      <vt:lpstr>Table of contents</vt:lpstr>
      <vt:lpstr>Section 1 - Right, Left</vt:lpstr>
      <vt:lpstr>Section 1 - Right, Left (ANS)</vt:lpstr>
      <vt:lpstr>Section 2 - Find, Len</vt:lpstr>
      <vt:lpstr>Section 2 - Find, Len, Mid(ANS)</vt:lpstr>
      <vt:lpstr>Section 3 - Prop, Con</vt:lpstr>
      <vt:lpstr>Section 3 - Prop, Con (ANS)</vt:lpstr>
      <vt:lpstr>Section 4 - Valid</vt:lpstr>
      <vt:lpstr>Section 4 - Valid ANS</vt:lpstr>
      <vt:lpstr>'Section 4 - Valid'!products</vt:lpstr>
      <vt:lpstr>products</vt:lpstr>
      <vt:lpstr>'Section 4 - Valid'!saleschannel</vt:lpstr>
      <vt:lpstr>saleschannel</vt:lpstr>
      <vt:lpstr>'Section 4 - Valid'!salesmen</vt:lpstr>
      <vt:lpstr>salesmen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Barbara Vyse</cp:lastModifiedBy>
  <dcterms:created xsi:type="dcterms:W3CDTF">2016-06-22T22:01:00Z</dcterms:created>
  <dcterms:modified xsi:type="dcterms:W3CDTF">2019-06-07T15:20:53Z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