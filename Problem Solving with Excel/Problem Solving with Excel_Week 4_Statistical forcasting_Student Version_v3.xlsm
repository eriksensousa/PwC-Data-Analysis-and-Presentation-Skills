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hiede001\Desktop\Course 2 Excel files UPDATED with buttons\"/>
    </mc:Choice>
  </mc:AlternateContent>
  <bookViews>
    <workbookView xWindow="0" yWindow="0" windowWidth="24000" windowHeight="9435"/>
  </bookViews>
  <sheets>
    <sheet name="Introduction" sheetId="1" r:id="rId1"/>
    <sheet name="Table of Contents" sheetId="16" r:id="rId2"/>
    <sheet name="Data Set" sheetId="6" r:id="rId3"/>
    <sheet name="Section 1 - Instruction" sheetId="13" r:id="rId4"/>
    <sheet name="Section 1 - (ANS)" sheetId="12" state="hidden" r:id="rId5"/>
  </sheets>
  <definedNames>
    <definedName name="BinCount_SocialMedia_Mentions">'Section 1 - Instruction'!$C$17</definedName>
    <definedName name="Bins_SocialMedia_Mentions">'Section 1 - Instruction'!$B$20:$B$31</definedName>
    <definedName name="BinSize_SocialMedia_Mentions">'Section 1 - Instruction'!$C$18</definedName>
    <definedName name="Correl_SocialMedia_WebsiteVisits">'Section 1 - Instruction'!$C$43</definedName>
    <definedName name="CoVar_SocialMedia_Mentions">'Section 1 - Instruction'!$C$40</definedName>
    <definedName name="Max_SocialMedia_Mentions">'Section 1 - Instruction'!$C$15</definedName>
    <definedName name="Min_SocialMedia_Mentions">'Section 1 - Instruction'!$C$14</definedName>
    <definedName name="Slope_WebsiteVisits_SocialMedia">'Section 1 - Instruction'!$C$116</definedName>
    <definedName name="SocialMedia_Mentions">'Data Set'!$B$7:$B$106</definedName>
    <definedName name="StdDev_SocialMedia_Mentions">'Section 1 - Instruction'!$C$10</definedName>
    <definedName name="Var_SocialMedia_Mentions">'Section 1 - Instruction'!$C$37</definedName>
    <definedName name="Website_Visits">'Data Set'!$C$7:$C$106</definedName>
  </definedNames>
  <calcPr calcId="152511" calcOnSave="0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6" l="1"/>
  <c r="A2" i="16"/>
  <c r="A1" i="16"/>
  <c r="B20" i="13"/>
  <c r="B21" i="13"/>
  <c r="B22" i="13"/>
  <c r="B23" i="13"/>
  <c r="B24" i="13"/>
  <c r="B25" i="13"/>
  <c r="B26" i="13"/>
  <c r="B27" i="13"/>
  <c r="B28" i="13"/>
  <c r="B29" i="13"/>
  <c r="B30" i="13"/>
  <c r="B31" i="13"/>
  <c r="C116" i="12"/>
  <c r="C18" i="12"/>
  <c r="B62" i="13"/>
  <c r="B63" i="13"/>
  <c r="B64" i="13"/>
  <c r="B65" i="13"/>
  <c r="B66" i="13"/>
  <c r="B67" i="13"/>
  <c r="B68" i="13"/>
  <c r="B69" i="13"/>
  <c r="B70" i="13"/>
  <c r="B71" i="13"/>
  <c r="B72" i="13"/>
  <c r="B73" i="13"/>
  <c r="A3" i="13"/>
  <c r="A2" i="13"/>
  <c r="A1" i="13"/>
  <c r="C157" i="12"/>
  <c r="C158" i="12"/>
  <c r="C159" i="12"/>
  <c r="C156" i="12"/>
  <c r="C151" i="12"/>
  <c r="C150" i="12"/>
  <c r="C88" i="12"/>
  <c r="C85" i="12"/>
  <c r="C82" i="12"/>
  <c r="C79" i="12"/>
  <c r="C57" i="12"/>
  <c r="C60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C15" i="12"/>
  <c r="B20" i="12"/>
  <c r="C56" i="12"/>
  <c r="C52" i="12"/>
  <c r="C40" i="12"/>
  <c r="C37" i="12"/>
  <c r="B21" i="12"/>
  <c r="B22" i="12"/>
  <c r="B23" i="12"/>
  <c r="B24" i="12"/>
  <c r="B25" i="12"/>
  <c r="B26" i="12"/>
  <c r="B27" i="12"/>
  <c r="B28" i="12"/>
  <c r="B29" i="12"/>
  <c r="B30" i="12"/>
  <c r="B31" i="12"/>
  <c r="C14" i="12"/>
  <c r="C10" i="12"/>
  <c r="C123" i="12"/>
  <c r="C122" i="12"/>
  <c r="C117" i="12"/>
  <c r="C46" i="12"/>
  <c r="C43" i="12"/>
  <c r="A3" i="12"/>
  <c r="A2" i="12"/>
  <c r="A1" i="12"/>
  <c r="A3" i="6"/>
  <c r="A2" i="6"/>
  <c r="A1" i="6"/>
</calcChain>
</file>

<file path=xl/sharedStrings.xml><?xml version="1.0" encoding="utf-8"?>
<sst xmlns="http://schemas.openxmlformats.org/spreadsheetml/2006/main" count="203" uniqueCount="106">
  <si>
    <t>Business Real World Insight to Incorporate</t>
  </si>
  <si>
    <t>Instruction Points on Concepts</t>
  </si>
  <si>
    <t>Data Set</t>
  </si>
  <si>
    <t>Section 1 - Instruction</t>
  </si>
  <si>
    <t>Standard deviation, how spread out the data is</t>
  </si>
  <si>
    <t>WebsiteVisits</t>
  </si>
  <si>
    <t>=STDEV.S()</t>
  </si>
  <si>
    <t>Imortant to understand if there is skewness in your data and what might be driving that shape</t>
  </si>
  <si>
    <t>For example, if your data is skewed left, it indicates your values are clustered on the high end</t>
  </si>
  <si>
    <t>STDEV.S - the sample population STDEV should be used</t>
  </si>
  <si>
    <t>If your data is logarithmic or exponential, you might consider a transformation of your data</t>
  </si>
  <si>
    <t>=MIN()</t>
  </si>
  <si>
    <t>=MAX()</t>
  </si>
  <si>
    <t>Bins</t>
  </si>
  <si>
    <t>Bin</t>
  </si>
  <si>
    <t>More</t>
  </si>
  <si>
    <t>Frequency</t>
  </si>
  <si>
    <t>Use the data analysis toolpak to plot a histogram</t>
  </si>
  <si>
    <t>=VAR.S()</t>
  </si>
  <si>
    <t>Variance, square of the standard deviation</t>
  </si>
  <si>
    <t>check that the SQRT of the variance is the same as the standard deviation above</t>
  </si>
  <si>
    <t>Variance is also a measure of how spread out the data is, but it only has positive figures because it is squared</t>
  </si>
  <si>
    <t>It gives us a sense of how spread out the data is, above and below the mean</t>
  </si>
  <si>
    <t>It gives us a sense of how spread out the data is from the mean in absolute terms</t>
  </si>
  <si>
    <t>This is an important import into regression analysis</t>
  </si>
  <si>
    <t>High variance means the data is inconsistent.</t>
  </si>
  <si>
    <t>=COVARIANCE.S()</t>
  </si>
  <si>
    <t>=CORREL()</t>
  </si>
  <si>
    <t>=RSQ()</t>
  </si>
  <si>
    <t>Covariance is a measure of how much two series of data vary together</t>
  </si>
  <si>
    <t>Correlation is a measure of much data moves together</t>
  </si>
  <si>
    <t>In business, this provides powerful insight when making predictions</t>
  </si>
  <si>
    <t>Classic adage, "Correlation does not imply causation." So be careful about what conclusions you draw. Sometimes it is hard to know which direction the causation flows.</t>
  </si>
  <si>
    <t>Sometimes, you will see this written as the r-score</t>
  </si>
  <si>
    <t>The R-Squared statistic is a measure of the percentage of variation in Y that X explains</t>
  </si>
  <si>
    <t>This can show positive or negative relationships</t>
  </si>
  <si>
    <t>Check that the SQRT of this is equal the correlation above</t>
  </si>
  <si>
    <t>Important to know how much your model or predictors are explaining the value that you are trying to predict. Most of the time a higher value leads to better predictions.</t>
  </si>
  <si>
    <t>This is a squared value and therefore only represents positive values and the strength of the relationship. We cannot infer the direction of correlation (positive or negative).</t>
  </si>
  <si>
    <t>Add a trend line and inspect the equation</t>
  </si>
  <si>
    <t>Explain the intercept and the slope</t>
  </si>
  <si>
    <t>Compare Rsquared value to results above</t>
  </si>
  <si>
    <t>Calculate the coefficients with excel equations</t>
  </si>
  <si>
    <t>This is 1) good practice, and 2) challenges you to think about the direction of causation</t>
  </si>
  <si>
    <t>Bin Size</t>
  </si>
  <si>
    <t>=FORECAST()</t>
  </si>
  <si>
    <t>x</t>
  </si>
  <si>
    <t>y</t>
  </si>
  <si>
    <t xml:space="preserve">Use the forecast function to predict y-values for a given x-value </t>
  </si>
  <si>
    <t xml:space="preserve">The forecast function works for both interpolation (when the given x-value is within the range of x-values in the data set) and extrapolation (when the given x-value is outside the range of the x-values in the dataset). </t>
  </si>
  <si>
    <t>Use the forecast function to make predictions for X=100, 600, 10,500 &amp; 39,146</t>
  </si>
  <si>
    <t>Extend the trendline of the scatter plot to show that you can make predictions outside of the current range of x values</t>
  </si>
  <si>
    <t>Caution students to be extra careful when making predictions outside of the current range of x-values</t>
  </si>
  <si>
    <t>We are less certain about our forecasts outside of the observed x-range because we don't have historical data on this</t>
  </si>
  <si>
    <t>Forecast the trendline forward 20,000 periods</t>
  </si>
  <si>
    <t>Calculate the minimum and maximum values for the plot</t>
  </si>
  <si>
    <t>Create bins for the histogram</t>
  </si>
  <si>
    <t>10-15 bins is a good rule of thumb</t>
  </si>
  <si>
    <t>Bin Count</t>
  </si>
  <si>
    <t>**Histogram plot will require users to add in the analysis toolpak</t>
  </si>
  <si>
    <t>First output binned data and frequencies, then plot it with a bar chart</t>
  </si>
  <si>
    <t>Data Analysis ToolPak Output</t>
  </si>
  <si>
    <t>Histogram plot</t>
  </si>
  <si>
    <t>Note that the covariance, correlation, and r-squared are the same, in other words, the direction doesn't matter</t>
  </si>
  <si>
    <t>Calculate all of the above measures for the Website Visits</t>
  </si>
  <si>
    <t>Use Excel functions to calculate the intercept and slope of the line</t>
  </si>
  <si>
    <t xml:space="preserve">Add a trendline and the line's equation to the plot </t>
  </si>
  <si>
    <t xml:space="preserve">Forecast the trendline forward 300 periods </t>
  </si>
  <si>
    <t>=SLOPE()</t>
  </si>
  <si>
    <t>=INTERCEPT()</t>
  </si>
  <si>
    <t>Forecast the trendline forward 10,000 periods</t>
  </si>
  <si>
    <t>Use the forecast function to predict values of y (Website Visits)</t>
  </si>
  <si>
    <t>At a high level, we are exploring whether SocialMedia mentions are predictive of website traffice for Company X.</t>
  </si>
  <si>
    <t>Calculate the standard deviation of SocialMedia Mentions</t>
  </si>
  <si>
    <t>Plot a histogram of the SocialMedia Mentions</t>
  </si>
  <si>
    <t>Calculate the variance SocialMedia Mentions</t>
  </si>
  <si>
    <t>Perhaps, we want a consistent number of people to mention us on SocialMedia, so in that case, a lower variance would be better.</t>
  </si>
  <si>
    <t>Calculate the variance SocialMedia Mentions and Website Visits</t>
  </si>
  <si>
    <t>Calculate the correlation between SocialMedia Mentions and Website Visits</t>
  </si>
  <si>
    <t>For example, if SocialMedia mentions and website visits move together, we can predict what website visits might be in the future</t>
  </si>
  <si>
    <t>Calculate the R-Squared between SocialMedia Mentions and Website Visits</t>
  </si>
  <si>
    <t>In other words, you could say that, "SocialMedia mentions explain 62% of variation in website visits."</t>
  </si>
  <si>
    <t>Plot a scatter plot of the SocialMedia Mentions on the x-axis and the Website Visits on the y-axis</t>
  </si>
  <si>
    <t>Plot a scatter plot of the SocialMedia data and web traffic data</t>
  </si>
  <si>
    <t>For each additional SocialMedia mention you get ~23 additional visits to your site</t>
  </si>
  <si>
    <t>Maybe it is important to focus on SocialMedia as a marketing channel</t>
  </si>
  <si>
    <t>Use the forecast function to predict what website visits will be for a certain number of SocialMedia mentions</t>
  </si>
  <si>
    <t>Plot a scatter plot of the Website Visits on the x-axis and the SocialMedia Mentions on the y-axis</t>
  </si>
  <si>
    <t>Do all of the above with SocialMedia as your target variable (y-variable)</t>
  </si>
  <si>
    <t>What is the expected number of SocialMediaMentions when WebsiteVisits = 50,000?</t>
  </si>
  <si>
    <t>Use the forecast function to predict values of y (SocialMedia Mentions)</t>
  </si>
  <si>
    <t>SocialMediaMentions</t>
  </si>
  <si>
    <t>Problem 1A - Instructor Lead</t>
  </si>
  <si>
    <t>Problem 1B - Student Exersise</t>
  </si>
  <si>
    <t>Problem 2A - Instructor Lead</t>
  </si>
  <si>
    <t>Problem 2B - Student Lead</t>
  </si>
  <si>
    <t>Problem Solving with Excel</t>
  </si>
  <si>
    <t>Week 4</t>
  </si>
  <si>
    <t>Statistical Forecasting</t>
  </si>
  <si>
    <t>Table of contents</t>
  </si>
  <si>
    <t>Section</t>
  </si>
  <si>
    <t>Description</t>
  </si>
  <si>
    <t>Contained in Workbook</t>
  </si>
  <si>
    <t>Name of External Referenced File</t>
  </si>
  <si>
    <t>Y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</si>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</sst>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_);@_)"/>
    <numFmt numFmtId="165" formatCode="0%_);\(0%\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i/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u/>
      <sz val="9"/>
      <color theme="11"/>
      <name val="Calibri"/>
      <family val="2"/>
      <scheme val="minor"/>
    </font>
    <font>
      <b/>
      <sz val="10"/>
      <color theme="6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</borders>
  <cellStyleXfs count="38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</cellStyleXfs>
  <cellXfs count="45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11" borderId="11" xfId="30" applyFill="1" applyBorder="1"/>
    <xf numFmtId="0" fontId="22" fillId="11" borderId="12" xfId="30" applyFill="1" applyBorder="1"/>
    <xf numFmtId="0" fontId="22" fillId="11" borderId="13" xfId="30" applyFill="1" applyBorder="1"/>
    <xf numFmtId="0" fontId="22" fillId="11" borderId="0" xfId="30" applyFill="1" applyBorder="1"/>
    <xf numFmtId="0" fontId="22" fillId="11" borderId="14" xfId="30" applyFill="1" applyBorder="1"/>
    <xf numFmtId="0" fontId="22" fillId="11" borderId="15" xfId="30" applyFill="1" applyBorder="1"/>
    <xf numFmtId="0" fontId="22" fillId="11" borderId="16" xfId="30" applyFill="1" applyBorder="1"/>
    <xf numFmtId="0" fontId="22" fillId="11" borderId="17" xfId="30" applyFill="1" applyBorder="1"/>
    <xf numFmtId="0" fontId="22" fillId="0" borderId="0" xfId="30" applyBorder="1"/>
    <xf numFmtId="0" fontId="5" fillId="12" borderId="0" xfId="24" applyFont="1" applyFill="1" applyBorder="1" applyAlignment="1">
      <alignment horizontal="center" wrapText="1"/>
    </xf>
    <xf numFmtId="0" fontId="25" fillId="12" borderId="0" xfId="30" applyFont="1" applyFill="1" applyBorder="1" applyAlignment="1">
      <alignment horizontal="center"/>
    </xf>
    <xf numFmtId="0" fontId="22" fillId="0" borderId="0" xfId="30" quotePrefix="1"/>
    <xf numFmtId="0" fontId="26" fillId="0" borderId="0" xfId="30" applyFont="1"/>
    <xf numFmtId="164" fontId="0" fillId="0" borderId="0" xfId="0" applyFill="1" applyBorder="1" applyAlignment="1"/>
    <xf numFmtId="164" fontId="0" fillId="0" borderId="18" xfId="0" applyFill="1" applyBorder="1" applyAlignment="1"/>
    <xf numFmtId="164" fontId="27" fillId="0" borderId="19" xfId="0" applyFont="1" applyFill="1" applyBorder="1" applyAlignment="1">
      <alignment horizontal="center"/>
    </xf>
    <xf numFmtId="0" fontId="22" fillId="11" borderId="13" xfId="30" applyFill="1" applyBorder="1" applyAlignment="1">
      <alignment wrapText="1"/>
    </xf>
    <xf numFmtId="0" fontId="22" fillId="11" borderId="0" xfId="30" applyFill="1" applyBorder="1" applyAlignment="1">
      <alignment wrapText="1"/>
    </xf>
    <xf numFmtId="0" fontId="22" fillId="11" borderId="14" xfId="30" applyFill="1" applyBorder="1" applyAlignment="1">
      <alignment wrapText="1"/>
    </xf>
    <xf numFmtId="0" fontId="22" fillId="0" borderId="0" xfId="30" applyAlignment="1">
      <alignment wrapText="1"/>
    </xf>
    <xf numFmtId="164" fontId="22" fillId="0" borderId="0" xfId="30" applyNumberFormat="1"/>
    <xf numFmtId="43" fontId="22" fillId="0" borderId="0" xfId="30" applyNumberFormat="1"/>
    <xf numFmtId="0" fontId="30" fillId="0" borderId="0" xfId="30" applyFont="1"/>
    <xf numFmtId="0" fontId="22" fillId="13" borderId="0" xfId="30" applyFill="1"/>
    <xf numFmtId="4" fontId="22" fillId="13" borderId="0" xfId="30" applyNumberFormat="1" applyFill="1"/>
    <xf numFmtId="3" fontId="22" fillId="13" borderId="0" xfId="30" applyNumberFormat="1" applyFont="1" applyFill="1"/>
    <xf numFmtId="3" fontId="22" fillId="13" borderId="0" xfId="30" applyNumberFormat="1" applyFill="1"/>
    <xf numFmtId="3" fontId="0" fillId="0" borderId="0" xfId="0" applyNumberFormat="1" applyFill="1" applyBorder="1" applyAlignment="1"/>
    <xf numFmtId="0" fontId="26" fillId="0" borderId="0" xfId="30" quotePrefix="1" applyFont="1" applyAlignment="1">
      <alignment horizontal="center"/>
    </xf>
    <xf numFmtId="0" fontId="26" fillId="0" borderId="0" xfId="30" applyFont="1" applyAlignment="1">
      <alignment horizontal="center"/>
    </xf>
    <xf numFmtId="0" fontId="22" fillId="0" borderId="20" xfId="30" applyBorder="1"/>
    <xf numFmtId="3" fontId="22" fillId="0" borderId="0" xfId="30" applyNumberFormat="1"/>
    <xf numFmtId="164" fontId="31" fillId="0" borderId="0" xfId="0" applyFont="1" applyAlignment="1">
      <alignment horizontal="center"/>
    </xf>
    <xf numFmtId="39" fontId="32" fillId="0" borderId="0" xfId="0" applyNumberFormat="1" applyFont="1" applyAlignment="1">
      <alignment horizontal="center"/>
    </xf>
    <xf numFmtId="164" fontId="34" fillId="0" borderId="0" xfId="0" applyFont="1"/>
    <xf numFmtId="164" fontId="35" fillId="0" borderId="0" xfId="0" applyFont="1"/>
    <xf numFmtId="49" fontId="16" fillId="11" borderId="21" xfId="3" applyFont="1" applyFill="1" applyBorder="1" applyAlignment="1">
      <alignment horizontal="center" wrapText="1"/>
    </xf>
    <xf numFmtId="43" fontId="36" fillId="0" borderId="22" xfId="31" applyFont="1" applyBorder="1" applyAlignment="1">
      <alignment horizontal="left"/>
    </xf>
    <xf numFmtId="43" fontId="36" fillId="0" borderId="22" xfId="31" applyFont="1" applyBorder="1" applyAlignment="1">
      <alignment horizontal="center"/>
    </xf>
    <xf numFmtId="49" fontId="16" fillId="0" borderId="6" xfId="3" applyFont="1" applyAlignment="1">
      <alignment horizontal="left" wrapText="1"/>
    </xf>
  </cellXfs>
  <cellStyles count="38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Followed Hyperlink" xfId="33" builtinId="9" hidden="1"/>
    <cellStyle name="Followed Hyperlink" xfId="35" builtinId="9" hidden="1"/>
    <cellStyle name="Followed Hyperlink" xfId="37" builtinId="9" hidde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2" builtinId="8" hidden="1"/>
    <cellStyle name="Hyperlink" xfId="34" builtinId="8" hidden="1"/>
    <cellStyle name="Hyperlink" xfId="36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'Section 1 - Instruction'!$D$21:$D$33</c:f>
            </c:numRef>
          </c:cat>
          <c:val>
            <c:numRef>
              <c:f>'Section 1 - Instruction'!$E$21:$E$33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014640"/>
        <c:axId val="642015424"/>
      </c:barChart>
      <c:catAx>
        <c:axId val="642014640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5424"/>
        <c:crosses val="autoZero"/>
        <c:auto val="1"/>
        <c:lblAlgn val="ctr"/>
        <c:lblOffset val="100"/>
        <c:noMultiLvlLbl val="0"/>
      </c:catAx>
      <c:valAx>
        <c:axId val="6420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'Section 1 - Instruction'!$D$63:$D$75</c:f>
            </c:numRef>
          </c:cat>
          <c:val>
            <c:numRef>
              <c:f>'Section 1 - Instruction'!$E$63:$E$75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627448"/>
        <c:axId val="477626664"/>
      </c:barChart>
      <c:catAx>
        <c:axId val="477627448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6664"/>
        <c:crosses val="autoZero"/>
        <c:auto val="1"/>
        <c:lblAlgn val="ctr"/>
        <c:lblOffset val="100"/>
        <c:noMultiLvlLbl val="0"/>
      </c:catAx>
      <c:valAx>
        <c:axId val="47762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375385981164119"/>
                  <c:y val="0.36796710153877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7784"/>
        <c:axId val="543928960"/>
      </c:scatterChart>
      <c:valAx>
        <c:axId val="54392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960"/>
        <c:crosses val="autoZero"/>
        <c:crossBetween val="midCat"/>
      </c:valAx>
      <c:valAx>
        <c:axId val="5439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300"/>
            <c:dispRSqr val="1"/>
            <c:dispEq val="1"/>
            <c:trendlineLbl>
              <c:layout>
                <c:manualLayout>
                  <c:x val="5.19305728770783E-2"/>
                  <c:y val="0.400926885246532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6216"/>
        <c:axId val="543925824"/>
      </c:scatterChart>
      <c:valAx>
        <c:axId val="54392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5824"/>
        <c:crosses val="autoZero"/>
        <c:crossBetween val="midCat"/>
      </c:valAx>
      <c:valAx>
        <c:axId val="5439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(ANS)'!$D$21:$D$33</c:f>
              <c:strCache>
                <c:ptCount val="13"/>
                <c:pt idx="0">
                  <c:v>114</c:v>
                </c:pt>
                <c:pt idx="1">
                  <c:v>228</c:v>
                </c:pt>
                <c:pt idx="2">
                  <c:v>342</c:v>
                </c:pt>
                <c:pt idx="3">
                  <c:v>456</c:v>
                </c:pt>
                <c:pt idx="4">
                  <c:v>570</c:v>
                </c:pt>
                <c:pt idx="5">
                  <c:v>684</c:v>
                </c:pt>
                <c:pt idx="6">
                  <c:v>798</c:v>
                </c:pt>
                <c:pt idx="7">
                  <c:v>912</c:v>
                </c:pt>
                <c:pt idx="8">
                  <c:v>1,026</c:v>
                </c:pt>
                <c:pt idx="9">
                  <c:v>1,140</c:v>
                </c:pt>
                <c:pt idx="10">
                  <c:v>1,254</c:v>
                </c:pt>
                <c:pt idx="11">
                  <c:v>1,368</c:v>
                </c:pt>
                <c:pt idx="12">
                  <c:v>More</c:v>
                </c:pt>
              </c:strCache>
            </c:strRef>
          </c:cat>
          <c:val>
            <c:numRef>
              <c:f>'Section 1 - (ANS)'!$E$21:$E$33</c:f>
              <c:numCache>
                <c:formatCode>_(* #,##0_);_(* \(#,##0\);_(* "-"_);@_)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13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4248"/>
        <c:axId val="640665424"/>
      </c:barChart>
      <c:catAx>
        <c:axId val="64066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5424"/>
        <c:crosses val="autoZero"/>
        <c:auto val="1"/>
        <c:lblAlgn val="ctr"/>
        <c:lblOffset val="100"/>
        <c:noMultiLvlLbl val="0"/>
      </c:catAx>
      <c:valAx>
        <c:axId val="6406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(ANS)'!$D$63:$D$75</c:f>
              <c:strCache>
                <c:ptCount val="13"/>
                <c:pt idx="0">
                  <c:v>3,582</c:v>
                </c:pt>
                <c:pt idx="1">
                  <c:v>7,164</c:v>
                </c:pt>
                <c:pt idx="2">
                  <c:v>10,746</c:v>
                </c:pt>
                <c:pt idx="3">
                  <c:v>14,328</c:v>
                </c:pt>
                <c:pt idx="4">
                  <c:v>17,910</c:v>
                </c:pt>
                <c:pt idx="5">
                  <c:v>21,492</c:v>
                </c:pt>
                <c:pt idx="6">
                  <c:v>25,074</c:v>
                </c:pt>
                <c:pt idx="7">
                  <c:v>28,656</c:v>
                </c:pt>
                <c:pt idx="8">
                  <c:v>32,238</c:v>
                </c:pt>
                <c:pt idx="9">
                  <c:v>35,820</c:v>
                </c:pt>
                <c:pt idx="10">
                  <c:v>39,402</c:v>
                </c:pt>
                <c:pt idx="11">
                  <c:v>42,984</c:v>
                </c:pt>
                <c:pt idx="12">
                  <c:v>More</c:v>
                </c:pt>
              </c:strCache>
            </c:strRef>
          </c:cat>
          <c:val>
            <c:numRef>
              <c:f>'Section 1 - (ANS)'!$E$63:$E$75</c:f>
              <c:numCache>
                <c:formatCode>_(* #,##0_);_(* \(#,##0\);_(* "-"_);@_)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12</c:v>
                </c:pt>
                <c:pt idx="5">
                  <c:v>13</c:v>
                </c:pt>
                <c:pt idx="6">
                  <c:v>22</c:v>
                </c:pt>
                <c:pt idx="7">
                  <c:v>9</c:v>
                </c:pt>
                <c:pt idx="8">
                  <c:v>12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3856"/>
        <c:axId val="640664640"/>
      </c:barChart>
      <c:catAx>
        <c:axId val="64066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640"/>
        <c:crosses val="autoZero"/>
        <c:auto val="1"/>
        <c:lblAlgn val="ctr"/>
        <c:lblOffset val="100"/>
        <c:noMultiLvlLbl val="0"/>
      </c:catAx>
      <c:valAx>
        <c:axId val="6406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Mentions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0000"/>
            <c:dispRSqr val="1"/>
            <c:dispEq val="1"/>
            <c:trendlineLbl>
              <c:layout>
                <c:manualLayout>
                  <c:x val="9.4140516442797598E-2"/>
                  <c:y val="0.395458333333333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xVal>
          <c:y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8176"/>
        <c:axId val="640666208"/>
      </c:scatterChart>
      <c:valAx>
        <c:axId val="54392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6208"/>
        <c:crosses val="autoZero"/>
        <c:crossBetween val="midCat"/>
      </c:valAx>
      <c:valAx>
        <c:axId val="6406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95</xdr:row>
      <xdr:rowOff>0</xdr:rowOff>
    </xdr:from>
    <xdr:to>
      <xdr:col>8</xdr:col>
      <xdr:colOff>371475</xdr:colOff>
      <xdr:row>113</xdr:row>
      <xdr:rowOff>32385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9</xdr:row>
          <xdr:rowOff>104775</xdr:rowOff>
        </xdr:from>
        <xdr:to>
          <xdr:col>11</xdr:col>
          <xdr:colOff>457200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54</xdr:row>
          <xdr:rowOff>9525</xdr:rowOff>
        </xdr:from>
        <xdr:to>
          <xdr:col>12</xdr:col>
          <xdr:colOff>285750</xdr:colOff>
          <xdr:row>57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102</xdr:row>
          <xdr:rowOff>9525</xdr:rowOff>
        </xdr:from>
        <xdr:to>
          <xdr:col>14</xdr:col>
          <xdr:colOff>285750</xdr:colOff>
          <xdr:row>105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127</xdr:row>
          <xdr:rowOff>133350</xdr:rowOff>
        </xdr:from>
        <xdr:to>
          <xdr:col>14</xdr:col>
          <xdr:colOff>285750</xdr:colOff>
          <xdr:row>131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73025</xdr:colOff>
      <xdr:row>94</xdr:row>
      <xdr:rowOff>108743</xdr:rowOff>
    </xdr:from>
    <xdr:to>
      <xdr:col>10</xdr:col>
      <xdr:colOff>358775</xdr:colOff>
      <xdr:row>112</xdr:row>
      <xdr:rowOff>93265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128</xdr:row>
      <xdr:rowOff>63500</xdr:rowOff>
    </xdr:from>
    <xdr:to>
      <xdr:col>10</xdr:col>
      <xdr:colOff>431800</xdr:colOff>
      <xdr:row>146</xdr:row>
      <xdr:rowOff>139700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9</xdr:row>
          <xdr:rowOff>95250</xdr:rowOff>
        </xdr:from>
        <xdr:to>
          <xdr:col>13</xdr:col>
          <xdr:colOff>66675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53</xdr:row>
          <xdr:rowOff>0</xdr:rowOff>
        </xdr:from>
        <xdr:to>
          <xdr:col>12</xdr:col>
          <xdr:colOff>457200</xdr:colOff>
          <xdr:row>56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97</xdr:row>
          <xdr:rowOff>247650</xdr:rowOff>
        </xdr:from>
        <xdr:to>
          <xdr:col>14</xdr:col>
          <xdr:colOff>323850</xdr:colOff>
          <xdr:row>100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131</xdr:row>
          <xdr:rowOff>123825</xdr:rowOff>
        </xdr:from>
        <xdr:to>
          <xdr:col>14</xdr:col>
          <xdr:colOff>457200</xdr:colOff>
          <xdr:row>135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tabSelected="1" workbookViewId="0">
      <selection activeCell="C9" sqref="C9"/>
    </sheetView>
  </sheetViews>
  <sheetFormatPr defaultColWidth="9" defaultRowHeight="12" x14ac:dyDescent="0.2"/>
  <sheetData>
    <row r="1" spans="1:1" ht="18.75" x14ac:dyDescent="0.3">
      <c r="A1" s="1" t="s">
        <v>96</v>
      </c>
    </row>
    <row r="2" spans="1:1" ht="18.75" x14ac:dyDescent="0.3">
      <c r="A2" s="1" t="s">
        <v>97</v>
      </c>
    </row>
    <row r="3" spans="1:1" ht="18.75" x14ac:dyDescent="0.3">
      <c r="A3" s="1" t="s">
        <v>98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zoomScaleNormal="100" workbookViewId="0">
      <selection activeCell="E1" sqref="E1"/>
    </sheetView>
  </sheetViews>
  <sheetFormatPr defaultRowHeight="12" x14ac:dyDescent="0.2"/>
  <cols>
    <col min="3" max="3" width="33.33203125" customWidth="1"/>
    <col min="4" max="4" width="14.83203125" customWidth="1"/>
    <col min="5" max="5" width="40.1640625" customWidth="1"/>
  </cols>
  <sheetData>
    <row r="1" spans="1:5" ht="12.75" x14ac:dyDescent="0.2">
      <c r="A1" s="3" t="str">
        <f>Introduction!A1</f>
        <v>Problem Solving with Excel</v>
      </c>
      <c r="B1" s="39"/>
    </row>
    <row r="2" spans="1:5" ht="12.75" x14ac:dyDescent="0.2">
      <c r="A2" s="3" t="str">
        <f>Introduction!A2</f>
        <v>Week 4</v>
      </c>
      <c r="B2" s="39"/>
    </row>
    <row r="3" spans="1:5" ht="12.75" x14ac:dyDescent="0.2">
      <c r="A3" s="3" t="str">
        <f>Introduction!A3</f>
        <v>Statistical Forecasting</v>
      </c>
      <c r="B3" s="39"/>
    </row>
    <row r="4" spans="1:5" ht="12.75" x14ac:dyDescent="0.2">
      <c r="A4" s="40" t="s">
        <v>99</v>
      </c>
      <c r="B4" s="39"/>
    </row>
    <row r="6" spans="1:5" ht="24.75" thickBot="1" x14ac:dyDescent="0.25">
      <c r="B6" s="44" t="s">
        <v>100</v>
      </c>
      <c r="C6" s="44" t="s">
        <v>101</v>
      </c>
      <c r="D6" s="44" t="s">
        <v>102</v>
      </c>
      <c r="E6" s="44" t="s">
        <v>103</v>
      </c>
    </row>
    <row r="7" spans="1:5" ht="12.75" x14ac:dyDescent="0.2">
      <c r="B7" s="41">
        <v>1</v>
      </c>
      <c r="C7" s="42" t="s">
        <v>3</v>
      </c>
      <c r="D7" s="43" t="s">
        <v>104</v>
      </c>
      <c r="E7" s="43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G106"/>
  <sheetViews>
    <sheetView showGridLines="0" zoomScale="80" workbookViewId="0">
      <selection activeCell="L1" sqref="L1"/>
    </sheetView>
  </sheetViews>
  <sheetFormatPr defaultColWidth="9" defaultRowHeight="12.75" x14ac:dyDescent="0.2"/>
  <cols>
    <col min="1" max="1" width="9" style="2"/>
    <col min="2" max="2" width="27.33203125" style="2" bestFit="1" customWidth="1"/>
    <col min="3" max="3" width="18.5" style="2" customWidth="1"/>
    <col min="4" max="4" width="9" style="2"/>
    <col min="5" max="5" width="14" style="2" customWidth="1"/>
    <col min="6" max="6" width="11.6640625" style="2" bestFit="1" customWidth="1"/>
    <col min="7" max="16384" width="9" style="2"/>
  </cols>
  <sheetData>
    <row r="1" spans="1:7" x14ac:dyDescent="0.2">
      <c r="A1" s="3" t="str">
        <f>Introduction!A1</f>
        <v>Problem Solving with Excel</v>
      </c>
    </row>
    <row r="2" spans="1:7" x14ac:dyDescent="0.2">
      <c r="A2" s="3" t="str">
        <f>Introduction!A2</f>
        <v>Week 4</v>
      </c>
    </row>
    <row r="3" spans="1:7" x14ac:dyDescent="0.2">
      <c r="A3" s="3" t="str">
        <f>Introduction!A3</f>
        <v>Statistical Forecasting</v>
      </c>
    </row>
    <row r="4" spans="1:7" x14ac:dyDescent="0.2">
      <c r="A4" s="3" t="s">
        <v>2</v>
      </c>
    </row>
    <row r="5" spans="1:7" x14ac:dyDescent="0.2">
      <c r="E5" s="17"/>
    </row>
    <row r="6" spans="1:7" x14ac:dyDescent="0.2">
      <c r="B6" s="37" t="s">
        <v>91</v>
      </c>
      <c r="C6" s="37" t="s">
        <v>5</v>
      </c>
      <c r="F6" s="17"/>
      <c r="G6" s="17"/>
    </row>
    <row r="7" spans="1:7" x14ac:dyDescent="0.2">
      <c r="B7" s="38">
        <v>610</v>
      </c>
      <c r="C7" s="38">
        <v>16211</v>
      </c>
      <c r="E7" s="25"/>
      <c r="F7" s="26"/>
    </row>
    <row r="8" spans="1:7" x14ac:dyDescent="0.2">
      <c r="B8" s="38">
        <v>1135</v>
      </c>
      <c r="C8" s="38">
        <v>33564</v>
      </c>
      <c r="E8" s="25"/>
    </row>
    <row r="9" spans="1:7" x14ac:dyDescent="0.2">
      <c r="B9" s="38">
        <v>725</v>
      </c>
      <c r="C9" s="38">
        <v>13596</v>
      </c>
    </row>
    <row r="10" spans="1:7" x14ac:dyDescent="0.2">
      <c r="B10" s="38">
        <v>325</v>
      </c>
      <c r="C10" s="38">
        <v>6516</v>
      </c>
    </row>
    <row r="11" spans="1:7" x14ac:dyDescent="0.2">
      <c r="B11" s="38">
        <v>1114</v>
      </c>
      <c r="C11" s="38">
        <v>28869</v>
      </c>
    </row>
    <row r="12" spans="1:7" x14ac:dyDescent="0.2">
      <c r="B12" s="38">
        <v>1031</v>
      </c>
      <c r="C12" s="38">
        <v>20657</v>
      </c>
    </row>
    <row r="13" spans="1:7" x14ac:dyDescent="0.2">
      <c r="B13" s="38">
        <v>856</v>
      </c>
      <c r="C13" s="38">
        <v>28396</v>
      </c>
    </row>
    <row r="14" spans="1:7" x14ac:dyDescent="0.2">
      <c r="B14" s="38">
        <v>713</v>
      </c>
      <c r="C14" s="38">
        <v>28863</v>
      </c>
    </row>
    <row r="15" spans="1:7" x14ac:dyDescent="0.2">
      <c r="B15" s="38">
        <v>544</v>
      </c>
      <c r="C15" s="38">
        <v>23748</v>
      </c>
    </row>
    <row r="16" spans="1:7" x14ac:dyDescent="0.2">
      <c r="B16" s="38">
        <v>1353</v>
      </c>
      <c r="C16" s="38">
        <v>35529</v>
      </c>
    </row>
    <row r="17" spans="2:3" x14ac:dyDescent="0.2">
      <c r="B17" s="38">
        <v>1246</v>
      </c>
      <c r="C17" s="38">
        <v>31512</v>
      </c>
    </row>
    <row r="18" spans="2:3" x14ac:dyDescent="0.2">
      <c r="B18" s="38">
        <v>664</v>
      </c>
      <c r="C18" s="38">
        <v>15828</v>
      </c>
    </row>
    <row r="19" spans="2:3" x14ac:dyDescent="0.2">
      <c r="B19" s="38">
        <v>709</v>
      </c>
      <c r="C19" s="38">
        <v>21825</v>
      </c>
    </row>
    <row r="20" spans="2:3" x14ac:dyDescent="0.2">
      <c r="B20" s="38">
        <v>491</v>
      </c>
      <c r="C20" s="38">
        <v>16702</v>
      </c>
    </row>
    <row r="21" spans="2:3" x14ac:dyDescent="0.2">
      <c r="B21" s="38">
        <v>733</v>
      </c>
      <c r="C21" s="38">
        <v>22022</v>
      </c>
    </row>
    <row r="22" spans="2:3" x14ac:dyDescent="0.2">
      <c r="B22" s="38">
        <v>1036</v>
      </c>
      <c r="C22" s="38">
        <v>25165</v>
      </c>
    </row>
    <row r="23" spans="2:3" x14ac:dyDescent="0.2">
      <c r="B23" s="38">
        <v>1044</v>
      </c>
      <c r="C23" s="38">
        <v>19478</v>
      </c>
    </row>
    <row r="24" spans="2:3" x14ac:dyDescent="0.2">
      <c r="B24" s="38">
        <v>1034</v>
      </c>
      <c r="C24" s="38">
        <v>24126</v>
      </c>
    </row>
    <row r="25" spans="2:3" x14ac:dyDescent="0.2">
      <c r="B25" s="38">
        <v>543</v>
      </c>
      <c r="C25" s="38">
        <v>12011</v>
      </c>
    </row>
    <row r="26" spans="2:3" x14ac:dyDescent="0.2">
      <c r="B26" s="38">
        <v>766</v>
      </c>
      <c r="C26" s="38">
        <v>23548</v>
      </c>
    </row>
    <row r="27" spans="2:3" x14ac:dyDescent="0.2">
      <c r="B27" s="38">
        <v>582</v>
      </c>
      <c r="C27" s="38">
        <v>15179</v>
      </c>
    </row>
    <row r="28" spans="2:3" x14ac:dyDescent="0.2">
      <c r="B28" s="38">
        <v>774</v>
      </c>
      <c r="C28" s="38">
        <v>20239</v>
      </c>
    </row>
    <row r="29" spans="2:3" x14ac:dyDescent="0.2">
      <c r="B29" s="38">
        <v>579</v>
      </c>
      <c r="C29" s="38">
        <v>14604</v>
      </c>
    </row>
    <row r="30" spans="2:3" x14ac:dyDescent="0.2">
      <c r="B30" s="38">
        <v>608</v>
      </c>
      <c r="C30" s="38">
        <v>23984</v>
      </c>
    </row>
    <row r="31" spans="2:3" x14ac:dyDescent="0.2">
      <c r="B31" s="38">
        <v>564</v>
      </c>
      <c r="C31" s="38">
        <v>13886</v>
      </c>
    </row>
    <row r="32" spans="2:3" x14ac:dyDescent="0.2">
      <c r="B32" s="38">
        <v>891</v>
      </c>
      <c r="C32" s="38">
        <v>20208</v>
      </c>
    </row>
    <row r="33" spans="2:3" x14ac:dyDescent="0.2">
      <c r="B33" s="38">
        <v>439</v>
      </c>
      <c r="C33" s="38">
        <v>7648</v>
      </c>
    </row>
    <row r="34" spans="2:3" x14ac:dyDescent="0.2">
      <c r="B34" s="38">
        <v>694</v>
      </c>
      <c r="C34" s="38">
        <v>23363</v>
      </c>
    </row>
    <row r="35" spans="2:3" x14ac:dyDescent="0.2">
      <c r="B35" s="38">
        <v>473</v>
      </c>
      <c r="C35" s="38">
        <v>17564</v>
      </c>
    </row>
    <row r="36" spans="2:3" x14ac:dyDescent="0.2">
      <c r="B36" s="38">
        <v>1081</v>
      </c>
      <c r="C36" s="38">
        <v>26423</v>
      </c>
    </row>
    <row r="37" spans="2:3" x14ac:dyDescent="0.2">
      <c r="B37" s="38">
        <v>591</v>
      </c>
      <c r="C37" s="38">
        <v>9159</v>
      </c>
    </row>
    <row r="38" spans="2:3" x14ac:dyDescent="0.2">
      <c r="B38" s="38">
        <v>505</v>
      </c>
      <c r="C38" s="38">
        <v>10359</v>
      </c>
    </row>
    <row r="39" spans="2:3" x14ac:dyDescent="0.2">
      <c r="B39" s="38">
        <v>707</v>
      </c>
      <c r="C39" s="38">
        <v>18196</v>
      </c>
    </row>
    <row r="40" spans="2:3" x14ac:dyDescent="0.2">
      <c r="B40" s="38">
        <v>806</v>
      </c>
      <c r="C40" s="38">
        <v>18907</v>
      </c>
    </row>
    <row r="41" spans="2:3" x14ac:dyDescent="0.2">
      <c r="B41" s="38">
        <v>836</v>
      </c>
      <c r="C41" s="38">
        <v>31227</v>
      </c>
    </row>
    <row r="42" spans="2:3" x14ac:dyDescent="0.2">
      <c r="B42" s="38">
        <v>985</v>
      </c>
      <c r="C42" s="38">
        <v>25332</v>
      </c>
    </row>
    <row r="43" spans="2:3" x14ac:dyDescent="0.2">
      <c r="B43" s="38">
        <v>510</v>
      </c>
      <c r="C43" s="38">
        <v>6866</v>
      </c>
    </row>
    <row r="44" spans="2:3" x14ac:dyDescent="0.2">
      <c r="B44" s="38">
        <v>700</v>
      </c>
      <c r="C44" s="38">
        <v>23184</v>
      </c>
    </row>
    <row r="45" spans="2:3" x14ac:dyDescent="0.2">
      <c r="B45" s="38">
        <v>449</v>
      </c>
      <c r="C45" s="38">
        <v>17631</v>
      </c>
    </row>
    <row r="46" spans="2:3" x14ac:dyDescent="0.2">
      <c r="B46" s="38">
        <v>1096</v>
      </c>
      <c r="C46" s="38">
        <v>31239</v>
      </c>
    </row>
    <row r="47" spans="2:3" x14ac:dyDescent="0.2">
      <c r="B47" s="38">
        <v>747</v>
      </c>
      <c r="C47" s="38">
        <v>7774</v>
      </c>
    </row>
    <row r="48" spans="2:3" x14ac:dyDescent="0.2">
      <c r="B48" s="38">
        <v>128</v>
      </c>
      <c r="C48" s="38">
        <v>6918</v>
      </c>
    </row>
    <row r="49" spans="2:3" x14ac:dyDescent="0.2">
      <c r="B49" s="38">
        <v>524</v>
      </c>
      <c r="C49" s="38">
        <v>21821</v>
      </c>
    </row>
    <row r="50" spans="2:3" x14ac:dyDescent="0.2">
      <c r="B50" s="38">
        <v>844</v>
      </c>
      <c r="C50" s="38">
        <v>19865</v>
      </c>
    </row>
    <row r="51" spans="2:3" x14ac:dyDescent="0.2">
      <c r="B51" s="38">
        <v>633</v>
      </c>
      <c r="C51" s="38">
        <v>11124</v>
      </c>
    </row>
    <row r="52" spans="2:3" x14ac:dyDescent="0.2">
      <c r="B52" s="38">
        <v>1041</v>
      </c>
      <c r="C52" s="38">
        <v>24879</v>
      </c>
    </row>
    <row r="53" spans="2:3" x14ac:dyDescent="0.2">
      <c r="B53" s="38">
        <v>581</v>
      </c>
      <c r="C53" s="38">
        <v>14125</v>
      </c>
    </row>
    <row r="54" spans="2:3" x14ac:dyDescent="0.2">
      <c r="B54" s="38">
        <v>1331</v>
      </c>
      <c r="C54" s="38">
        <v>42990</v>
      </c>
    </row>
    <row r="55" spans="2:3" x14ac:dyDescent="0.2">
      <c r="B55" s="38">
        <v>551</v>
      </c>
      <c r="C55" s="38">
        <v>13641</v>
      </c>
    </row>
    <row r="56" spans="2:3" x14ac:dyDescent="0.2">
      <c r="B56" s="38">
        <v>413</v>
      </c>
      <c r="C56" s="38">
        <v>7582</v>
      </c>
    </row>
    <row r="57" spans="2:3" x14ac:dyDescent="0.2">
      <c r="B57" s="38">
        <v>357</v>
      </c>
      <c r="C57" s="38">
        <v>6681</v>
      </c>
    </row>
    <row r="58" spans="2:3" x14ac:dyDescent="0.2">
      <c r="B58" s="38">
        <v>630</v>
      </c>
      <c r="C58" s="38">
        <v>17233</v>
      </c>
    </row>
    <row r="59" spans="2:3" x14ac:dyDescent="0.2">
      <c r="B59" s="38">
        <v>511</v>
      </c>
      <c r="C59" s="38">
        <v>11035</v>
      </c>
    </row>
    <row r="60" spans="2:3" x14ac:dyDescent="0.2">
      <c r="B60" s="38">
        <v>858</v>
      </c>
      <c r="C60" s="38">
        <v>23923</v>
      </c>
    </row>
    <row r="61" spans="2:3" x14ac:dyDescent="0.2">
      <c r="B61" s="38">
        <v>1376</v>
      </c>
      <c r="C61" s="38">
        <v>30318</v>
      </c>
    </row>
    <row r="62" spans="2:3" x14ac:dyDescent="0.2">
      <c r="B62" s="38">
        <v>557</v>
      </c>
      <c r="C62" s="38">
        <v>20609</v>
      </c>
    </row>
    <row r="63" spans="2:3" x14ac:dyDescent="0.2">
      <c r="B63" s="38">
        <v>812</v>
      </c>
      <c r="C63" s="38">
        <v>19226</v>
      </c>
    </row>
    <row r="64" spans="2:3" x14ac:dyDescent="0.2">
      <c r="B64" s="38">
        <v>776</v>
      </c>
      <c r="C64" s="38">
        <v>24259</v>
      </c>
    </row>
    <row r="65" spans="2:3" x14ac:dyDescent="0.2">
      <c r="B65" s="38">
        <v>821</v>
      </c>
      <c r="C65" s="38">
        <v>21590</v>
      </c>
    </row>
    <row r="66" spans="2:3" x14ac:dyDescent="0.2">
      <c r="B66" s="38">
        <v>846</v>
      </c>
      <c r="C66" s="38">
        <v>12145</v>
      </c>
    </row>
    <row r="67" spans="2:3" x14ac:dyDescent="0.2">
      <c r="B67" s="38">
        <v>694</v>
      </c>
      <c r="C67" s="38">
        <v>18937</v>
      </c>
    </row>
    <row r="68" spans="2:3" x14ac:dyDescent="0.2">
      <c r="B68" s="38">
        <v>737</v>
      </c>
      <c r="C68" s="38">
        <v>21651</v>
      </c>
    </row>
    <row r="69" spans="2:3" x14ac:dyDescent="0.2">
      <c r="B69" s="38">
        <v>285</v>
      </c>
      <c r="C69" s="38">
        <v>6042</v>
      </c>
    </row>
    <row r="70" spans="2:3" x14ac:dyDescent="0.2">
      <c r="B70" s="38">
        <v>586</v>
      </c>
      <c r="C70" s="38">
        <v>16913</v>
      </c>
    </row>
    <row r="71" spans="2:3" x14ac:dyDescent="0.2">
      <c r="B71" s="38">
        <v>1362</v>
      </c>
      <c r="C71" s="38">
        <v>28918</v>
      </c>
    </row>
    <row r="72" spans="2:3" x14ac:dyDescent="0.2">
      <c r="B72" s="38">
        <v>544</v>
      </c>
      <c r="C72" s="38">
        <v>8576</v>
      </c>
    </row>
    <row r="73" spans="2:3" x14ac:dyDescent="0.2">
      <c r="B73" s="38">
        <v>572</v>
      </c>
      <c r="C73" s="38">
        <v>10169</v>
      </c>
    </row>
    <row r="74" spans="2:3" x14ac:dyDescent="0.2">
      <c r="B74" s="38">
        <v>449</v>
      </c>
      <c r="C74" s="38">
        <v>7947</v>
      </c>
    </row>
    <row r="75" spans="2:3" x14ac:dyDescent="0.2">
      <c r="B75" s="38">
        <v>944</v>
      </c>
      <c r="C75" s="38">
        <v>25512</v>
      </c>
    </row>
    <row r="76" spans="2:3" x14ac:dyDescent="0.2">
      <c r="B76" s="38">
        <v>752</v>
      </c>
      <c r="C76" s="38">
        <v>16355</v>
      </c>
    </row>
    <row r="77" spans="2:3" x14ac:dyDescent="0.2">
      <c r="B77" s="38">
        <v>871</v>
      </c>
      <c r="C77" s="38">
        <v>20529</v>
      </c>
    </row>
    <row r="78" spans="2:3" x14ac:dyDescent="0.2">
      <c r="B78" s="38">
        <v>927</v>
      </c>
      <c r="C78" s="38">
        <v>30236</v>
      </c>
    </row>
    <row r="79" spans="2:3" x14ac:dyDescent="0.2">
      <c r="B79" s="38">
        <v>633</v>
      </c>
      <c r="C79" s="38">
        <v>12748</v>
      </c>
    </row>
    <row r="80" spans="2:3" x14ac:dyDescent="0.2">
      <c r="B80" s="38">
        <v>1031</v>
      </c>
      <c r="C80" s="38">
        <v>22205</v>
      </c>
    </row>
    <row r="81" spans="2:3" x14ac:dyDescent="0.2">
      <c r="B81" s="38">
        <v>210</v>
      </c>
      <c r="C81" s="38">
        <v>1991</v>
      </c>
    </row>
    <row r="82" spans="2:3" x14ac:dyDescent="0.2">
      <c r="B82" s="38">
        <v>607</v>
      </c>
      <c r="C82" s="38">
        <v>31919</v>
      </c>
    </row>
    <row r="83" spans="2:3" x14ac:dyDescent="0.2">
      <c r="B83" s="38">
        <v>589</v>
      </c>
      <c r="C83" s="38">
        <v>9521</v>
      </c>
    </row>
    <row r="84" spans="2:3" x14ac:dyDescent="0.2">
      <c r="B84" s="38">
        <v>352</v>
      </c>
      <c r="C84" s="38">
        <v>14238</v>
      </c>
    </row>
    <row r="85" spans="2:3" x14ac:dyDescent="0.2">
      <c r="B85" s="38">
        <v>917</v>
      </c>
      <c r="C85" s="38">
        <v>21714</v>
      </c>
    </row>
    <row r="86" spans="2:3" x14ac:dyDescent="0.2">
      <c r="B86" s="38">
        <v>826</v>
      </c>
      <c r="C86" s="38">
        <v>24143</v>
      </c>
    </row>
    <row r="87" spans="2:3" x14ac:dyDescent="0.2">
      <c r="B87" s="38">
        <v>734</v>
      </c>
      <c r="C87" s="38">
        <v>16728</v>
      </c>
    </row>
    <row r="88" spans="2:3" x14ac:dyDescent="0.2">
      <c r="B88" s="38">
        <v>1048</v>
      </c>
      <c r="C88" s="38">
        <v>29774</v>
      </c>
    </row>
    <row r="89" spans="2:3" x14ac:dyDescent="0.2">
      <c r="B89" s="38">
        <v>1085</v>
      </c>
      <c r="C89" s="38">
        <v>24263</v>
      </c>
    </row>
    <row r="90" spans="2:3" x14ac:dyDescent="0.2">
      <c r="B90" s="38">
        <v>534</v>
      </c>
      <c r="C90" s="38">
        <v>23612</v>
      </c>
    </row>
    <row r="91" spans="2:3" x14ac:dyDescent="0.2">
      <c r="B91" s="38">
        <v>779</v>
      </c>
      <c r="C91" s="38">
        <v>20990</v>
      </c>
    </row>
    <row r="92" spans="2:3" x14ac:dyDescent="0.2">
      <c r="B92" s="38">
        <v>543</v>
      </c>
      <c r="C92" s="38">
        <v>8486</v>
      </c>
    </row>
    <row r="93" spans="2:3" x14ac:dyDescent="0.2">
      <c r="B93" s="38">
        <v>350</v>
      </c>
      <c r="C93" s="38">
        <v>13111</v>
      </c>
    </row>
    <row r="94" spans="2:3" x14ac:dyDescent="0.2">
      <c r="B94" s="38">
        <v>1001</v>
      </c>
      <c r="C94" s="38">
        <v>28203</v>
      </c>
    </row>
    <row r="95" spans="2:3" x14ac:dyDescent="0.2">
      <c r="B95" s="38">
        <v>306</v>
      </c>
      <c r="C95" s="38">
        <v>15731</v>
      </c>
    </row>
    <row r="96" spans="2:3" x14ac:dyDescent="0.2">
      <c r="B96" s="38">
        <v>976</v>
      </c>
      <c r="C96" s="38">
        <v>28684</v>
      </c>
    </row>
    <row r="97" spans="2:3" x14ac:dyDescent="0.2">
      <c r="B97" s="38">
        <v>958</v>
      </c>
      <c r="C97" s="38">
        <v>23090</v>
      </c>
    </row>
    <row r="98" spans="2:3" x14ac:dyDescent="0.2">
      <c r="B98" s="38">
        <v>922</v>
      </c>
      <c r="C98" s="38">
        <v>28440</v>
      </c>
    </row>
    <row r="99" spans="2:3" x14ac:dyDescent="0.2">
      <c r="B99" s="38">
        <v>572</v>
      </c>
      <c r="C99" s="38">
        <v>13455</v>
      </c>
    </row>
    <row r="100" spans="2:3" x14ac:dyDescent="0.2">
      <c r="B100" s="38">
        <v>1324</v>
      </c>
      <c r="C100" s="38">
        <v>22624</v>
      </c>
    </row>
    <row r="101" spans="2:3" x14ac:dyDescent="0.2">
      <c r="B101" s="38">
        <v>1150</v>
      </c>
      <c r="C101" s="38">
        <v>31787</v>
      </c>
    </row>
    <row r="102" spans="2:3" x14ac:dyDescent="0.2">
      <c r="B102" s="38">
        <v>688</v>
      </c>
      <c r="C102" s="38">
        <v>23261</v>
      </c>
    </row>
    <row r="103" spans="2:3" x14ac:dyDescent="0.2">
      <c r="B103" s="38">
        <v>1022</v>
      </c>
      <c r="C103" s="38">
        <v>37393</v>
      </c>
    </row>
    <row r="104" spans="2:3" x14ac:dyDescent="0.2">
      <c r="B104" s="38">
        <v>811</v>
      </c>
      <c r="C104" s="38">
        <v>25225</v>
      </c>
    </row>
    <row r="105" spans="2:3" x14ac:dyDescent="0.2">
      <c r="B105" s="38">
        <v>1037</v>
      </c>
      <c r="C105" s="38">
        <v>26127</v>
      </c>
    </row>
    <row r="106" spans="2:3" x14ac:dyDescent="0.2">
      <c r="B106" s="38">
        <v>739</v>
      </c>
      <c r="C106" s="38">
        <v>20104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97"/>
  <sheetViews>
    <sheetView showGridLines="0" workbookViewId="0">
      <selection activeCell="G1" sqref="G1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4" style="2" bestFit="1" customWidth="1"/>
    <col min="4" max="16384" width="9" style="2"/>
  </cols>
  <sheetData>
    <row r="1" spans="1:16" x14ac:dyDescent="0.2">
      <c r="A1" s="3" t="str">
        <f>Introduction!A1</f>
        <v>Problem Solving with Excel</v>
      </c>
    </row>
    <row r="2" spans="1:16" x14ac:dyDescent="0.2">
      <c r="A2" s="3" t="str">
        <f>Introduction!A2</f>
        <v>Week 4</v>
      </c>
    </row>
    <row r="3" spans="1:16" x14ac:dyDescent="0.2">
      <c r="A3" s="3" t="str">
        <f>Introduction!A3</f>
        <v>Statistical Forecasting</v>
      </c>
    </row>
    <row r="4" spans="1:16" x14ac:dyDescent="0.2">
      <c r="A4" s="3"/>
    </row>
    <row r="5" spans="1:16" x14ac:dyDescent="0.2">
      <c r="P5" s="13"/>
    </row>
    <row r="7" spans="1:16" ht="18.75" x14ac:dyDescent="0.3">
      <c r="B7" s="4" t="s">
        <v>92</v>
      </c>
    </row>
    <row r="8" spans="1:16" ht="18.75" hidden="1" outlineLevel="1" x14ac:dyDescent="0.3">
      <c r="B8" s="4"/>
    </row>
    <row r="9" spans="1:16" hidden="1" outlineLevel="1" x14ac:dyDescent="0.2">
      <c r="B9" s="27" t="s">
        <v>73</v>
      </c>
    </row>
    <row r="10" spans="1:16" hidden="1" outlineLevel="1" x14ac:dyDescent="0.2">
      <c r="B10" s="16" t="s">
        <v>6</v>
      </c>
      <c r="C10" s="29"/>
      <c r="E10"/>
      <c r="F10"/>
      <c r="P10" s="24"/>
    </row>
    <row r="11" spans="1:16" hidden="1" outlineLevel="1" x14ac:dyDescent="0.2">
      <c r="E11"/>
      <c r="F11"/>
      <c r="P11" s="24"/>
    </row>
    <row r="12" spans="1:16" hidden="1" outlineLevel="1" x14ac:dyDescent="0.2">
      <c r="B12" s="27" t="s">
        <v>74</v>
      </c>
      <c r="E12"/>
      <c r="F12"/>
      <c r="P12" s="24"/>
    </row>
    <row r="13" spans="1:16" hidden="1" outlineLevel="1" x14ac:dyDescent="0.2">
      <c r="B13" s="27" t="s">
        <v>55</v>
      </c>
      <c r="E13"/>
      <c r="F13"/>
      <c r="P13" s="24"/>
    </row>
    <row r="14" spans="1:16" hidden="1" outlineLevel="1" x14ac:dyDescent="0.2">
      <c r="B14" s="16" t="s">
        <v>11</v>
      </c>
      <c r="C14" s="28"/>
      <c r="E14"/>
      <c r="F14"/>
      <c r="P14" s="24"/>
    </row>
    <row r="15" spans="1:16" hidden="1" outlineLevel="1" x14ac:dyDescent="0.2">
      <c r="B15" s="16" t="s">
        <v>12</v>
      </c>
      <c r="C15" s="28"/>
      <c r="E15"/>
      <c r="F15"/>
      <c r="P15" s="24"/>
    </row>
    <row r="16" spans="1:16" hidden="1" outlineLevel="1" x14ac:dyDescent="0.2">
      <c r="B16" s="27" t="s">
        <v>56</v>
      </c>
      <c r="E16"/>
      <c r="F16"/>
      <c r="P16" s="24"/>
    </row>
    <row r="17" spans="2:16" hidden="1" outlineLevel="1" x14ac:dyDescent="0.2">
      <c r="B17" s="2" t="s">
        <v>58</v>
      </c>
      <c r="C17" s="28"/>
      <c r="E17"/>
      <c r="F17"/>
      <c r="P17" s="24"/>
    </row>
    <row r="18" spans="2:16" hidden="1" outlineLevel="1" x14ac:dyDescent="0.2">
      <c r="B18" s="2" t="s">
        <v>44</v>
      </c>
      <c r="C18" s="28"/>
      <c r="E18"/>
      <c r="F18"/>
      <c r="P18" s="24"/>
    </row>
    <row r="19" spans="2:16" ht="13.5" hidden="1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4"/>
    </row>
    <row r="20" spans="2:16" hidden="1" outlineLevel="1" x14ac:dyDescent="0.2">
      <c r="B20" s="30">
        <f>BinSize_SocialMedia_Mentions</f>
        <v>0</v>
      </c>
      <c r="D20" s="20"/>
      <c r="E20" s="20"/>
      <c r="F20"/>
      <c r="P20" s="24"/>
    </row>
    <row r="21" spans="2:16" hidden="1" outlineLevel="1" x14ac:dyDescent="0.2">
      <c r="B21" s="31">
        <f t="shared" ref="B21:B31" si="0">B20+BinSize_SocialMedia_Mentions</f>
        <v>0</v>
      </c>
      <c r="D21" s="32"/>
      <c r="E21" s="18"/>
      <c r="F21"/>
      <c r="P21" s="24"/>
    </row>
    <row r="22" spans="2:16" hidden="1" outlineLevel="1" x14ac:dyDescent="0.2">
      <c r="B22" s="31">
        <f t="shared" si="0"/>
        <v>0</v>
      </c>
      <c r="D22" s="32"/>
      <c r="E22" s="18"/>
      <c r="F22"/>
      <c r="P22" s="24"/>
    </row>
    <row r="23" spans="2:16" hidden="1" outlineLevel="1" x14ac:dyDescent="0.2">
      <c r="B23" s="31">
        <f t="shared" si="0"/>
        <v>0</v>
      </c>
      <c r="D23" s="32"/>
      <c r="E23" s="18"/>
      <c r="F23"/>
      <c r="P23" s="24"/>
    </row>
    <row r="24" spans="2:16" hidden="1" outlineLevel="1" x14ac:dyDescent="0.2">
      <c r="B24" s="31">
        <f t="shared" si="0"/>
        <v>0</v>
      </c>
      <c r="D24" s="32"/>
      <c r="E24" s="18"/>
      <c r="F24"/>
      <c r="P24" s="24"/>
    </row>
    <row r="25" spans="2:16" hidden="1" outlineLevel="1" x14ac:dyDescent="0.2">
      <c r="B25" s="31">
        <f t="shared" si="0"/>
        <v>0</v>
      </c>
      <c r="D25" s="32"/>
      <c r="E25" s="18"/>
      <c r="F25"/>
      <c r="P25" s="24"/>
    </row>
    <row r="26" spans="2:16" hidden="1" outlineLevel="1" x14ac:dyDescent="0.2">
      <c r="B26" s="31">
        <f t="shared" si="0"/>
        <v>0</v>
      </c>
      <c r="D26" s="32"/>
      <c r="E26" s="18"/>
      <c r="F26"/>
      <c r="P26" s="24"/>
    </row>
    <row r="27" spans="2:16" hidden="1" outlineLevel="1" x14ac:dyDescent="0.2">
      <c r="B27" s="31">
        <f t="shared" si="0"/>
        <v>0</v>
      </c>
      <c r="D27" s="32"/>
      <c r="E27" s="18"/>
      <c r="F27"/>
      <c r="P27" s="24"/>
    </row>
    <row r="28" spans="2:16" hidden="1" outlineLevel="1" x14ac:dyDescent="0.2">
      <c r="B28" s="31">
        <f t="shared" si="0"/>
        <v>0</v>
      </c>
      <c r="D28" s="32"/>
      <c r="E28" s="18"/>
      <c r="F28"/>
      <c r="P28" s="24"/>
    </row>
    <row r="29" spans="2:16" hidden="1" outlineLevel="1" x14ac:dyDescent="0.2">
      <c r="B29" s="31">
        <f t="shared" si="0"/>
        <v>0</v>
      </c>
      <c r="D29" s="32"/>
      <c r="E29" s="18"/>
      <c r="F29"/>
      <c r="P29" s="24"/>
    </row>
    <row r="30" spans="2:16" hidden="1" outlineLevel="1" x14ac:dyDescent="0.2">
      <c r="B30" s="31">
        <f t="shared" si="0"/>
        <v>0</v>
      </c>
      <c r="D30" s="32"/>
      <c r="E30" s="18"/>
      <c r="F30"/>
      <c r="P30" s="24"/>
    </row>
    <row r="31" spans="2:16" hidden="1" outlineLevel="1" x14ac:dyDescent="0.2">
      <c r="B31" s="31">
        <f t="shared" si="0"/>
        <v>0</v>
      </c>
      <c r="D31" s="32"/>
      <c r="E31" s="18"/>
      <c r="P31" s="24"/>
    </row>
    <row r="32" spans="2:16" hidden="1" outlineLevel="1" x14ac:dyDescent="0.2">
      <c r="D32" s="32"/>
      <c r="E32" s="18"/>
      <c r="P32" s="24"/>
    </row>
    <row r="33" spans="2:16" ht="13.5" hidden="1" outlineLevel="1" thickBot="1" x14ac:dyDescent="0.25">
      <c r="D33" s="19"/>
      <c r="E33" s="19"/>
      <c r="P33" s="24"/>
    </row>
    <row r="34" spans="2:16" hidden="1" outlineLevel="1" x14ac:dyDescent="0.2">
      <c r="P34" s="24"/>
    </row>
    <row r="35" spans="2:16" hidden="1" outlineLevel="1" x14ac:dyDescent="0.2">
      <c r="P35" s="24"/>
    </row>
    <row r="36" spans="2:16" hidden="1" outlineLevel="1" x14ac:dyDescent="0.2">
      <c r="B36" s="27" t="s">
        <v>75</v>
      </c>
      <c r="P36" s="24"/>
    </row>
    <row r="37" spans="2:16" hidden="1" outlineLevel="1" x14ac:dyDescent="0.2">
      <c r="B37" s="16" t="s">
        <v>18</v>
      </c>
      <c r="C37" s="29"/>
      <c r="P37" s="24"/>
    </row>
    <row r="38" spans="2:16" hidden="1" outlineLevel="1" x14ac:dyDescent="0.2">
      <c r="P38" s="24"/>
    </row>
    <row r="39" spans="2:16" hidden="1" outlineLevel="1" x14ac:dyDescent="0.2">
      <c r="B39" s="27" t="s">
        <v>77</v>
      </c>
      <c r="P39" s="24"/>
    </row>
    <row r="40" spans="2:16" hidden="1" outlineLevel="1" x14ac:dyDescent="0.2">
      <c r="B40" s="16" t="s">
        <v>26</v>
      </c>
      <c r="C40" s="29"/>
      <c r="P40" s="24"/>
    </row>
    <row r="41" spans="2:16" hidden="1" outlineLevel="1" x14ac:dyDescent="0.2">
      <c r="P41" s="24"/>
    </row>
    <row r="42" spans="2:16" hidden="1" outlineLevel="1" x14ac:dyDescent="0.2">
      <c r="B42" s="27" t="s">
        <v>78</v>
      </c>
      <c r="P42" s="24"/>
    </row>
    <row r="43" spans="2:16" hidden="1" outlineLevel="1" x14ac:dyDescent="0.2">
      <c r="B43" s="16" t="s">
        <v>27</v>
      </c>
      <c r="C43" s="29"/>
      <c r="P43" s="24"/>
    </row>
    <row r="44" spans="2:16" hidden="1" outlineLevel="1" x14ac:dyDescent="0.2">
      <c r="P44" s="24"/>
    </row>
    <row r="45" spans="2:16" hidden="1" outlineLevel="1" x14ac:dyDescent="0.2">
      <c r="B45" s="27" t="s">
        <v>80</v>
      </c>
      <c r="P45" s="24"/>
    </row>
    <row r="46" spans="2:16" hidden="1" outlineLevel="1" x14ac:dyDescent="0.2">
      <c r="B46" s="16" t="s">
        <v>28</v>
      </c>
      <c r="C46" s="29"/>
      <c r="P46" s="24"/>
    </row>
    <row r="47" spans="2:16" hidden="1" outlineLevel="1" x14ac:dyDescent="0.2">
      <c r="P47" s="24"/>
    </row>
    <row r="48" spans="2:16" ht="18.75" collapsed="1" x14ac:dyDescent="0.3">
      <c r="B48" s="4" t="s">
        <v>93</v>
      </c>
      <c r="P48" s="24"/>
    </row>
    <row r="49" spans="2:16" hidden="1" outlineLevel="1" x14ac:dyDescent="0.2">
      <c r="B49" s="27" t="s">
        <v>64</v>
      </c>
      <c r="P49" s="24"/>
    </row>
    <row r="50" spans="2:16" ht="24" hidden="1" customHeight="1" outlineLevel="1" x14ac:dyDescent="0.2">
      <c r="P50" s="24"/>
    </row>
    <row r="51" spans="2:16" hidden="1" outlineLevel="1" x14ac:dyDescent="0.2">
      <c r="B51" s="27" t="s">
        <v>73</v>
      </c>
      <c r="P51" s="24"/>
    </row>
    <row r="52" spans="2:16" hidden="1" outlineLevel="1" x14ac:dyDescent="0.2">
      <c r="B52" s="16" t="s">
        <v>6</v>
      </c>
      <c r="C52" s="29"/>
      <c r="E52"/>
      <c r="F52"/>
    </row>
    <row r="53" spans="2:16" hidden="1" outlineLevel="1" x14ac:dyDescent="0.2">
      <c r="E53"/>
      <c r="F53"/>
    </row>
    <row r="54" spans="2:16" hidden="1" outlineLevel="1" x14ac:dyDescent="0.2">
      <c r="B54" s="27" t="s">
        <v>74</v>
      </c>
      <c r="E54"/>
      <c r="F54"/>
    </row>
    <row r="55" spans="2:16" hidden="1" outlineLevel="1" x14ac:dyDescent="0.2">
      <c r="B55" s="27" t="s">
        <v>55</v>
      </c>
      <c r="E55"/>
      <c r="F55"/>
    </row>
    <row r="56" spans="2:16" hidden="1" outlineLevel="1" x14ac:dyDescent="0.2">
      <c r="B56" s="16" t="s">
        <v>11</v>
      </c>
      <c r="C56" s="28"/>
      <c r="E56"/>
      <c r="F56"/>
    </row>
    <row r="57" spans="2:16" hidden="1" outlineLevel="1" x14ac:dyDescent="0.2">
      <c r="B57" s="16" t="s">
        <v>12</v>
      </c>
      <c r="C57" s="28"/>
      <c r="E57"/>
      <c r="F57"/>
    </row>
    <row r="58" spans="2:16" hidden="1" outlineLevel="1" x14ac:dyDescent="0.2">
      <c r="B58" s="27" t="s">
        <v>56</v>
      </c>
      <c r="E58"/>
      <c r="F58"/>
    </row>
    <row r="59" spans="2:16" hidden="1" outlineLevel="1" x14ac:dyDescent="0.2">
      <c r="B59" s="2" t="s">
        <v>58</v>
      </c>
      <c r="C59" s="28"/>
      <c r="E59"/>
      <c r="F59"/>
    </row>
    <row r="60" spans="2:16" hidden="1" outlineLevel="1" x14ac:dyDescent="0.2">
      <c r="B60" s="2" t="s">
        <v>44</v>
      </c>
      <c r="C60" s="28"/>
      <c r="E60"/>
      <c r="F60"/>
    </row>
    <row r="61" spans="2:16" ht="13.5" hidden="1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</row>
    <row r="62" spans="2:16" hidden="1" outlineLevel="1" x14ac:dyDescent="0.2">
      <c r="B62" s="30">
        <f>C60</f>
        <v>0</v>
      </c>
      <c r="D62" s="20"/>
      <c r="E62" s="20"/>
      <c r="F62"/>
    </row>
    <row r="63" spans="2:16" hidden="1" outlineLevel="1" x14ac:dyDescent="0.2">
      <c r="B63" s="31">
        <f>B62+$C$60</f>
        <v>0</v>
      </c>
      <c r="D63" s="32"/>
      <c r="E63" s="18"/>
      <c r="F63"/>
    </row>
    <row r="64" spans="2:16" hidden="1" outlineLevel="1" x14ac:dyDescent="0.2">
      <c r="B64" s="31">
        <f t="shared" ref="B64:B73" si="1">B63+$C$60</f>
        <v>0</v>
      </c>
      <c r="D64" s="32"/>
      <c r="E64" s="18"/>
      <c r="F64"/>
    </row>
    <row r="65" spans="2:6" hidden="1" outlineLevel="1" x14ac:dyDescent="0.2">
      <c r="B65" s="31">
        <f t="shared" si="1"/>
        <v>0</v>
      </c>
      <c r="D65" s="32"/>
      <c r="E65" s="18"/>
      <c r="F65"/>
    </row>
    <row r="66" spans="2:6" hidden="1" outlineLevel="1" x14ac:dyDescent="0.2">
      <c r="B66" s="31">
        <f t="shared" si="1"/>
        <v>0</v>
      </c>
      <c r="D66" s="32"/>
      <c r="E66" s="18"/>
      <c r="F66"/>
    </row>
    <row r="67" spans="2:6" hidden="1" outlineLevel="1" x14ac:dyDescent="0.2">
      <c r="B67" s="31">
        <f t="shared" si="1"/>
        <v>0</v>
      </c>
      <c r="D67" s="32"/>
      <c r="E67" s="18"/>
      <c r="F67"/>
    </row>
    <row r="68" spans="2:6" hidden="1" outlineLevel="1" x14ac:dyDescent="0.2">
      <c r="B68" s="31">
        <f t="shared" si="1"/>
        <v>0</v>
      </c>
      <c r="D68" s="32"/>
      <c r="E68" s="18"/>
      <c r="F68"/>
    </row>
    <row r="69" spans="2:6" hidden="1" outlineLevel="1" x14ac:dyDescent="0.2">
      <c r="B69" s="31">
        <f t="shared" si="1"/>
        <v>0</v>
      </c>
      <c r="D69" s="32"/>
      <c r="E69" s="18"/>
      <c r="F69"/>
    </row>
    <row r="70" spans="2:6" hidden="1" outlineLevel="1" x14ac:dyDescent="0.2">
      <c r="B70" s="31">
        <f t="shared" si="1"/>
        <v>0</v>
      </c>
      <c r="D70" s="32"/>
      <c r="E70" s="18"/>
      <c r="F70"/>
    </row>
    <row r="71" spans="2:6" hidden="1" outlineLevel="1" x14ac:dyDescent="0.2">
      <c r="B71" s="31">
        <f t="shared" si="1"/>
        <v>0</v>
      </c>
      <c r="D71" s="32"/>
      <c r="E71" s="18"/>
      <c r="F71"/>
    </row>
    <row r="72" spans="2:6" hidden="1" outlineLevel="1" x14ac:dyDescent="0.2">
      <c r="B72" s="31">
        <f t="shared" si="1"/>
        <v>0</v>
      </c>
      <c r="D72" s="32"/>
      <c r="E72" s="18"/>
      <c r="F72"/>
    </row>
    <row r="73" spans="2:6" hidden="1" outlineLevel="1" x14ac:dyDescent="0.2">
      <c r="B73" s="31">
        <f t="shared" si="1"/>
        <v>0</v>
      </c>
      <c r="D73" s="32"/>
      <c r="E73" s="18"/>
    </row>
    <row r="74" spans="2:6" hidden="1" outlineLevel="1" x14ac:dyDescent="0.2">
      <c r="D74" s="32"/>
      <c r="E74" s="18"/>
    </row>
    <row r="75" spans="2:6" ht="13.5" hidden="1" outlineLevel="1" thickBot="1" x14ac:dyDescent="0.25">
      <c r="D75" s="19"/>
      <c r="E75" s="19"/>
    </row>
    <row r="76" spans="2:6" hidden="1" outlineLevel="1" x14ac:dyDescent="0.2"/>
    <row r="77" spans="2:6" hidden="1" outlineLevel="1" x14ac:dyDescent="0.2"/>
    <row r="78" spans="2:6" hidden="1" outlineLevel="1" x14ac:dyDescent="0.2">
      <c r="B78" s="27" t="s">
        <v>75</v>
      </c>
    </row>
    <row r="79" spans="2:6" hidden="1" outlineLevel="1" x14ac:dyDescent="0.2">
      <c r="B79" s="16" t="s">
        <v>18</v>
      </c>
      <c r="C79" s="29"/>
    </row>
    <row r="80" spans="2:6" hidden="1" outlineLevel="1" x14ac:dyDescent="0.2"/>
    <row r="81" spans="2:3" hidden="1" outlineLevel="1" x14ac:dyDescent="0.2">
      <c r="B81" s="27" t="s">
        <v>77</v>
      </c>
    </row>
    <row r="82" spans="2:3" hidden="1" outlineLevel="1" x14ac:dyDescent="0.2">
      <c r="B82" s="16" t="s">
        <v>26</v>
      </c>
      <c r="C82" s="29"/>
    </row>
    <row r="83" spans="2:3" hidden="1" outlineLevel="1" x14ac:dyDescent="0.2"/>
    <row r="84" spans="2:3" hidden="1" outlineLevel="1" x14ac:dyDescent="0.2">
      <c r="B84" s="27" t="s">
        <v>78</v>
      </c>
    </row>
    <row r="85" spans="2:3" hidden="1" outlineLevel="1" x14ac:dyDescent="0.2">
      <c r="B85" s="16" t="s">
        <v>27</v>
      </c>
      <c r="C85" s="29"/>
    </row>
    <row r="86" spans="2:3" hidden="1" outlineLevel="1" x14ac:dyDescent="0.2"/>
    <row r="87" spans="2:3" hidden="1" outlineLevel="1" x14ac:dyDescent="0.2">
      <c r="B87" s="27" t="s">
        <v>80</v>
      </c>
    </row>
    <row r="88" spans="2:3" hidden="1" outlineLevel="1" x14ac:dyDescent="0.2">
      <c r="B88" s="16" t="s">
        <v>28</v>
      </c>
      <c r="C88" s="29"/>
    </row>
    <row r="89" spans="2:3" hidden="1" outlineLevel="1" x14ac:dyDescent="0.2"/>
    <row r="90" spans="2:3" hidden="1" outlineLevel="1" x14ac:dyDescent="0.2"/>
    <row r="91" spans="2:3" ht="18.75" collapsed="1" x14ac:dyDescent="0.3">
      <c r="B91" s="4" t="s">
        <v>94</v>
      </c>
    </row>
    <row r="92" spans="2:3" hidden="1" outlineLevel="1" x14ac:dyDescent="0.2">
      <c r="B92" s="27" t="s">
        <v>82</v>
      </c>
    </row>
    <row r="93" spans="2:3" hidden="1" outlineLevel="1" x14ac:dyDescent="0.2">
      <c r="B93" s="27" t="s">
        <v>66</v>
      </c>
    </row>
    <row r="94" spans="2:3" hidden="1" outlineLevel="1" x14ac:dyDescent="0.2">
      <c r="B94" s="27" t="s">
        <v>67</v>
      </c>
    </row>
    <row r="95" spans="2:3" hidden="1" outlineLevel="1" x14ac:dyDescent="0.2"/>
    <row r="96" spans="2:3" hidden="1" outlineLevel="1" x14ac:dyDescent="0.2"/>
    <row r="97" hidden="1" outlineLevel="1" x14ac:dyDescent="0.2"/>
    <row r="98" hidden="1" outlineLevel="1" x14ac:dyDescent="0.2"/>
    <row r="99" hidden="1" outlineLevel="1" x14ac:dyDescent="0.2"/>
    <row r="100" hidden="1" outlineLevel="1" x14ac:dyDescent="0.2"/>
    <row r="101" hidden="1" outlineLevel="1" x14ac:dyDescent="0.2"/>
    <row r="102" hidden="1" outlineLevel="1" x14ac:dyDescent="0.2"/>
    <row r="103" hidden="1" outlineLevel="1" x14ac:dyDescent="0.2"/>
    <row r="104" hidden="1" outlineLevel="1" x14ac:dyDescent="0.2"/>
    <row r="105" hidden="1" outlineLevel="1" x14ac:dyDescent="0.2"/>
    <row r="106" hidden="1" outlineLevel="1" x14ac:dyDescent="0.2"/>
    <row r="107" hidden="1" outlineLevel="1" x14ac:dyDescent="0.2"/>
    <row r="108" hidden="1" outlineLevel="1" x14ac:dyDescent="0.2"/>
    <row r="109" hidden="1" outlineLevel="1" x14ac:dyDescent="0.2"/>
    <row r="110" hidden="1" outlineLevel="1" x14ac:dyDescent="0.2"/>
    <row r="111" hidden="1" outlineLevel="1" x14ac:dyDescent="0.2"/>
    <row r="112" hidden="1" outlineLevel="1" x14ac:dyDescent="0.2"/>
    <row r="113" spans="2:16" hidden="1" outlineLevel="1" x14ac:dyDescent="0.2"/>
    <row r="114" spans="2:16" hidden="1" outlineLevel="1" x14ac:dyDescent="0.2"/>
    <row r="115" spans="2:16" hidden="1" outlineLevel="1" x14ac:dyDescent="0.2">
      <c r="B115" s="27" t="s">
        <v>65</v>
      </c>
    </row>
    <row r="116" spans="2:16" hidden="1" outlineLevel="1" x14ac:dyDescent="0.2">
      <c r="B116" s="16" t="s">
        <v>68</v>
      </c>
      <c r="C116" s="29"/>
    </row>
    <row r="117" spans="2:16" hidden="1" outlineLevel="1" x14ac:dyDescent="0.2">
      <c r="B117" s="16" t="s">
        <v>69</v>
      </c>
      <c r="C117" s="29"/>
    </row>
    <row r="118" spans="2:16" hidden="1" outlineLevel="1" x14ac:dyDescent="0.2">
      <c r="B118" s="16"/>
    </row>
    <row r="119" spans="2:16" hidden="1" outlineLevel="1" x14ac:dyDescent="0.2">
      <c r="B119" s="27" t="s">
        <v>71</v>
      </c>
    </row>
    <row r="120" spans="2:16" hidden="1" outlineLevel="1" x14ac:dyDescent="0.2">
      <c r="B120" s="16" t="s">
        <v>45</v>
      </c>
    </row>
    <row r="121" spans="2:16" hidden="1" outlineLevel="1" x14ac:dyDescent="0.2">
      <c r="B121" s="33" t="s">
        <v>46</v>
      </c>
      <c r="C121" s="34" t="s">
        <v>47</v>
      </c>
    </row>
    <row r="122" spans="2:16" hidden="1" outlineLevel="1" x14ac:dyDescent="0.2">
      <c r="B122" s="36">
        <v>100</v>
      </c>
      <c r="C122" s="29"/>
    </row>
    <row r="123" spans="2:16" hidden="1" outlineLevel="1" x14ac:dyDescent="0.2">
      <c r="B123" s="36">
        <v>1500</v>
      </c>
      <c r="C123" s="29"/>
    </row>
    <row r="124" spans="2:16" hidden="1" outlineLevel="1" x14ac:dyDescent="0.2">
      <c r="B124" s="16"/>
    </row>
    <row r="125" spans="2:16" ht="18.75" collapsed="1" x14ac:dyDescent="0.3">
      <c r="B125" s="4" t="s">
        <v>95</v>
      </c>
    </row>
    <row r="126" spans="2:16" hidden="1" outlineLevel="1" x14ac:dyDescent="0.2">
      <c r="B126" s="27" t="s">
        <v>87</v>
      </c>
      <c r="P126" s="35"/>
    </row>
    <row r="127" spans="2:16" hidden="1" outlineLevel="1" x14ac:dyDescent="0.2">
      <c r="B127" s="27" t="s">
        <v>66</v>
      </c>
    </row>
    <row r="128" spans="2:16" hidden="1" outlineLevel="1" x14ac:dyDescent="0.2">
      <c r="B128" s="27" t="s">
        <v>70</v>
      </c>
    </row>
    <row r="129" hidden="1" outlineLevel="1" x14ac:dyDescent="0.2"/>
    <row r="130" hidden="1" outlineLevel="1" x14ac:dyDescent="0.2"/>
    <row r="131" hidden="1" outlineLevel="1" x14ac:dyDescent="0.2"/>
    <row r="132" hidden="1" outlineLevel="1" x14ac:dyDescent="0.2"/>
    <row r="133" hidden="1" outlineLevel="1" x14ac:dyDescent="0.2"/>
    <row r="134" hidden="1" outlineLevel="1" x14ac:dyDescent="0.2"/>
    <row r="135" hidden="1" outlineLevel="1" x14ac:dyDescent="0.2"/>
    <row r="136" hidden="1" outlineLevel="1" x14ac:dyDescent="0.2"/>
    <row r="137" hidden="1" outlineLevel="1" x14ac:dyDescent="0.2"/>
    <row r="138" hidden="1" outlineLevel="1" x14ac:dyDescent="0.2"/>
    <row r="139" hidden="1" outlineLevel="1" x14ac:dyDescent="0.2"/>
    <row r="140" hidden="1" outlineLevel="1" x14ac:dyDescent="0.2"/>
    <row r="141" hidden="1" outlineLevel="1" x14ac:dyDescent="0.2"/>
    <row r="142" hidden="1" outlineLevel="1" x14ac:dyDescent="0.2"/>
    <row r="143" hidden="1" outlineLevel="1" x14ac:dyDescent="0.2"/>
    <row r="144" hidden="1" outlineLevel="1" x14ac:dyDescent="0.2"/>
    <row r="145" spans="2:3" hidden="1" outlineLevel="1" x14ac:dyDescent="0.2"/>
    <row r="146" spans="2:3" hidden="1" outlineLevel="1" x14ac:dyDescent="0.2"/>
    <row r="147" spans="2:3" hidden="1" outlineLevel="1" x14ac:dyDescent="0.2"/>
    <row r="148" spans="2:3" hidden="1" outlineLevel="1" x14ac:dyDescent="0.2"/>
    <row r="149" spans="2:3" hidden="1" outlineLevel="1" x14ac:dyDescent="0.2">
      <c r="B149" s="27" t="s">
        <v>65</v>
      </c>
    </row>
    <row r="150" spans="2:3" hidden="1" outlineLevel="1" x14ac:dyDescent="0.2">
      <c r="B150" s="16" t="s">
        <v>68</v>
      </c>
      <c r="C150" s="29"/>
    </row>
    <row r="151" spans="2:3" hidden="1" outlineLevel="1" x14ac:dyDescent="0.2">
      <c r="B151" s="16" t="s">
        <v>69</v>
      </c>
      <c r="C151" s="29"/>
    </row>
    <row r="152" spans="2:3" hidden="1" outlineLevel="1" x14ac:dyDescent="0.2">
      <c r="B152" s="16"/>
    </row>
    <row r="153" spans="2:3" hidden="1" outlineLevel="1" x14ac:dyDescent="0.2">
      <c r="B153" s="27" t="s">
        <v>90</v>
      </c>
    </row>
    <row r="154" spans="2:3" hidden="1" outlineLevel="1" x14ac:dyDescent="0.2">
      <c r="B154" s="16" t="s">
        <v>45</v>
      </c>
    </row>
    <row r="155" spans="2:3" hidden="1" outlineLevel="1" x14ac:dyDescent="0.2">
      <c r="B155" s="33" t="s">
        <v>46</v>
      </c>
      <c r="C155" s="34" t="s">
        <v>47</v>
      </c>
    </row>
    <row r="156" spans="2:3" hidden="1" outlineLevel="1" x14ac:dyDescent="0.2">
      <c r="B156" s="36">
        <v>100</v>
      </c>
      <c r="C156" s="29"/>
    </row>
    <row r="157" spans="2:3" hidden="1" outlineLevel="1" x14ac:dyDescent="0.2">
      <c r="B157" s="36">
        <v>500</v>
      </c>
      <c r="C157" s="29"/>
    </row>
    <row r="158" spans="2:3" hidden="1" outlineLevel="1" x14ac:dyDescent="0.2">
      <c r="B158" s="36">
        <v>10000</v>
      </c>
      <c r="C158" s="29"/>
    </row>
    <row r="159" spans="2:3" hidden="1" outlineLevel="1" x14ac:dyDescent="0.2">
      <c r="B159" s="36">
        <v>50000</v>
      </c>
      <c r="C159" s="29"/>
    </row>
    <row r="160" spans="2:3" hidden="1" outlineLevel="1" x14ac:dyDescent="0.2"/>
    <row r="161" hidden="1" outlineLevel="1" x14ac:dyDescent="0.2"/>
    <row r="162" hidden="1" outlineLevel="1" x14ac:dyDescent="0.2"/>
    <row r="163" hidden="1" outlineLevel="1" x14ac:dyDescent="0.2"/>
    <row r="164" hidden="1" outlineLevel="1" x14ac:dyDescent="0.2"/>
    <row r="165" hidden="1" outlineLevel="1" x14ac:dyDescent="0.2"/>
    <row r="166" hidden="1" outlineLevel="1" x14ac:dyDescent="0.2"/>
    <row r="167" hidden="1" outlineLevel="1" x14ac:dyDescent="0.2"/>
    <row r="168" hidden="1" outlineLevel="1" x14ac:dyDescent="0.2"/>
    <row r="169" hidden="1" outlineLevel="1" x14ac:dyDescent="0.2"/>
    <row r="170" hidden="1" outlineLevel="1" x14ac:dyDescent="0.2"/>
    <row r="171" hidden="1" outlineLevel="1" x14ac:dyDescent="0.2"/>
    <row r="172" hidden="1" outlineLevel="1" x14ac:dyDescent="0.2"/>
    <row r="173" hidden="1" outlineLevel="1" x14ac:dyDescent="0.2"/>
    <row r="174" hidden="1" outlineLevel="1" x14ac:dyDescent="0.2"/>
    <row r="175" hidden="1" outlineLevel="1" x14ac:dyDescent="0.2"/>
    <row r="176" hidden="1" outlineLevel="1" x14ac:dyDescent="0.2"/>
    <row r="177" hidden="1" outlineLevel="1" x14ac:dyDescent="0.2"/>
    <row r="178" hidden="1" outlineLevel="1" x14ac:dyDescent="0.2"/>
    <row r="179" hidden="1" outlineLevel="1" x14ac:dyDescent="0.2"/>
    <row r="180" hidden="1" outlineLevel="1" x14ac:dyDescent="0.2"/>
    <row r="181" hidden="1" outlineLevel="1" x14ac:dyDescent="0.2"/>
    <row r="182" hidden="1" outlineLevel="1" x14ac:dyDescent="0.2"/>
    <row r="183" hidden="1" outlineLevel="1" x14ac:dyDescent="0.2"/>
    <row r="184" hidden="1" outlineLevel="1" x14ac:dyDescent="0.2"/>
    <row r="185" hidden="1" outlineLevel="1" x14ac:dyDescent="0.2"/>
    <row r="186" hidden="1" outlineLevel="1" x14ac:dyDescent="0.2"/>
    <row r="187" hidden="1" outlineLevel="1" x14ac:dyDescent="0.2"/>
    <row r="188" hidden="1" outlineLevel="1" x14ac:dyDescent="0.2"/>
    <row r="189" hidden="1" outlineLevel="1" x14ac:dyDescent="0.2"/>
    <row r="190" hidden="1" outlineLevel="1" x14ac:dyDescent="0.2"/>
    <row r="191" hidden="1" outlineLevel="1" x14ac:dyDescent="0.2"/>
    <row r="192" hidden="1" outlineLevel="1" x14ac:dyDescent="0.2"/>
    <row r="193" hidden="1" outlineLevel="1" x14ac:dyDescent="0.2"/>
    <row r="194" hidden="1" outlineLevel="1" x14ac:dyDescent="0.2"/>
    <row r="195" hidden="1" outlineLevel="1" x14ac:dyDescent="0.2"/>
    <row r="196" hidden="1" outlineLevel="1" x14ac:dyDescent="0.2"/>
    <row r="197" collapsed="1" x14ac:dyDescent="0.2"/>
  </sheetData>
  <sortState ref="D21:D32">
    <sortCondition ref="D21"/>
  </sortState>
  <dataConsolidate/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ction_Send_To_1A">
                <anchor moveWithCells="1" sizeWithCells="1">
                  <from>
                    <xdr:col>8</xdr:col>
                    <xdr:colOff>266700</xdr:colOff>
                    <xdr:row>9</xdr:row>
                    <xdr:rowOff>104775</xdr:rowOff>
                  </from>
                  <to>
                    <xdr:col>11</xdr:col>
                    <xdr:colOff>457200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ction_Send_To_1B">
                <anchor moveWithCells="1" sizeWithCells="1">
                  <from>
                    <xdr:col>9</xdr:col>
                    <xdr:colOff>95250</xdr:colOff>
                    <xdr:row>54</xdr:row>
                    <xdr:rowOff>9525</xdr:rowOff>
                  </from>
                  <to>
                    <xdr:col>12</xdr:col>
                    <xdr:colOff>285750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ction_Send_To_2A">
                <anchor moveWithCells="1" sizeWithCells="1">
                  <from>
                    <xdr:col>11</xdr:col>
                    <xdr:colOff>95250</xdr:colOff>
                    <xdr:row>102</xdr:row>
                    <xdr:rowOff>9525</xdr:rowOff>
                  </from>
                  <to>
                    <xdr:col>14</xdr:col>
                    <xdr:colOff>285750</xdr:colOff>
                    <xdr:row>105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ction_Send_To_2B">
                <anchor moveWithCells="1" sizeWithCells="1">
                  <from>
                    <xdr:col>11</xdr:col>
                    <xdr:colOff>95250</xdr:colOff>
                    <xdr:row>127</xdr:row>
                    <xdr:rowOff>133350</xdr:rowOff>
                  </from>
                  <to>
                    <xdr:col>14</xdr:col>
                    <xdr:colOff>285750</xdr:colOff>
                    <xdr:row>131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S159"/>
  <sheetViews>
    <sheetView showGridLines="0" topLeftCell="A84" workbookViewId="0">
      <selection activeCell="M100" sqref="M100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7.33203125" style="2" customWidth="1"/>
    <col min="4" max="15" width="9" style="2"/>
    <col min="16" max="16" width="67.33203125" style="2" bestFit="1" customWidth="1"/>
    <col min="17" max="17" width="3.83203125" style="2" customWidth="1"/>
    <col min="18" max="18" width="131.6640625" style="2" bestFit="1" customWidth="1"/>
    <col min="19" max="16384" width="9" style="2"/>
  </cols>
  <sheetData>
    <row r="1" spans="1:19" x14ac:dyDescent="0.2">
      <c r="A1" s="3" t="str">
        <f>Introduction!A1</f>
        <v>Problem Solving with Excel</v>
      </c>
    </row>
    <row r="2" spans="1:19" x14ac:dyDescent="0.2">
      <c r="A2" s="3" t="str">
        <f>Introduction!A2</f>
        <v>Week 4</v>
      </c>
    </row>
    <row r="3" spans="1:19" x14ac:dyDescent="0.2">
      <c r="A3" s="3" t="str">
        <f>Introduction!A3</f>
        <v>Statistical Forecasting</v>
      </c>
    </row>
    <row r="4" spans="1:19" x14ac:dyDescent="0.2">
      <c r="A4" s="3" t="s">
        <v>3</v>
      </c>
    </row>
    <row r="5" spans="1:19" ht="13.5" thickBot="1" x14ac:dyDescent="0.25">
      <c r="P5" s="14" t="s">
        <v>1</v>
      </c>
      <c r="Q5" s="15"/>
      <c r="R5" s="14" t="s">
        <v>0</v>
      </c>
      <c r="S5" s="13"/>
    </row>
    <row r="6" spans="1:19" x14ac:dyDescent="0.2">
      <c r="P6" s="7" t="s">
        <v>72</v>
      </c>
      <c r="Q6" s="5"/>
      <c r="R6" s="6"/>
    </row>
    <row r="7" spans="1:19" ht="18.75" x14ac:dyDescent="0.3">
      <c r="B7" s="4" t="s">
        <v>92</v>
      </c>
      <c r="P7" s="7"/>
      <c r="Q7" s="8"/>
      <c r="R7" s="9"/>
    </row>
    <row r="8" spans="1:19" ht="18.75" x14ac:dyDescent="0.3">
      <c r="B8" s="4"/>
      <c r="P8" s="7"/>
      <c r="Q8" s="8"/>
      <c r="R8" s="9"/>
    </row>
    <row r="9" spans="1:19" x14ac:dyDescent="0.2">
      <c r="B9" s="27" t="s">
        <v>73</v>
      </c>
      <c r="P9" s="7"/>
      <c r="Q9" s="8"/>
      <c r="R9" s="9"/>
    </row>
    <row r="10" spans="1:19" outlineLevel="1" x14ac:dyDescent="0.2">
      <c r="B10" s="16" t="s">
        <v>6</v>
      </c>
      <c r="C10" s="29">
        <f>_xlfn.STDEV.S('Data Set'!$B$7:$B$106)</f>
        <v>269.63280006091043</v>
      </c>
      <c r="E10"/>
      <c r="F10"/>
      <c r="P10" s="21" t="s">
        <v>4</v>
      </c>
      <c r="Q10" s="22"/>
      <c r="R10" s="23" t="s">
        <v>7</v>
      </c>
      <c r="S10" s="24"/>
    </row>
    <row r="11" spans="1:19" outlineLevel="1" x14ac:dyDescent="0.2">
      <c r="E11"/>
      <c r="F11"/>
      <c r="P11" s="21" t="s">
        <v>9</v>
      </c>
      <c r="Q11" s="22"/>
      <c r="R11" s="23" t="s">
        <v>8</v>
      </c>
      <c r="S11" s="24"/>
    </row>
    <row r="12" spans="1:19" outlineLevel="1" x14ac:dyDescent="0.2">
      <c r="B12" s="27" t="s">
        <v>74</v>
      </c>
      <c r="E12"/>
      <c r="F12"/>
      <c r="P12" s="21"/>
      <c r="Q12" s="22"/>
      <c r="R12" s="23" t="s">
        <v>10</v>
      </c>
      <c r="S12" s="24"/>
    </row>
    <row r="13" spans="1:19" outlineLevel="1" x14ac:dyDescent="0.2">
      <c r="B13" s="27" t="s">
        <v>55</v>
      </c>
      <c r="E13"/>
      <c r="F13"/>
      <c r="P13" s="21"/>
      <c r="Q13" s="22"/>
      <c r="R13" s="23"/>
      <c r="S13" s="24"/>
    </row>
    <row r="14" spans="1:19" outlineLevel="1" x14ac:dyDescent="0.2">
      <c r="B14" s="16" t="s">
        <v>11</v>
      </c>
      <c r="C14" s="28">
        <f>MIN('Data Set'!$B$7:$B$106)</f>
        <v>128</v>
      </c>
      <c r="E14"/>
      <c r="F14"/>
      <c r="P14" s="21" t="s">
        <v>59</v>
      </c>
      <c r="Q14" s="22"/>
      <c r="R14" s="23" t="s">
        <v>22</v>
      </c>
      <c r="S14" s="24"/>
    </row>
    <row r="15" spans="1:19" outlineLevel="1" x14ac:dyDescent="0.2">
      <c r="B15" s="16" t="s">
        <v>12</v>
      </c>
      <c r="C15" s="28">
        <f>MAX('Data Set'!$B$7:$B$106)</f>
        <v>1376</v>
      </c>
      <c r="E15"/>
      <c r="F15"/>
      <c r="P15" s="21" t="s">
        <v>57</v>
      </c>
      <c r="Q15" s="22"/>
      <c r="R15" s="23"/>
      <c r="S15" s="24"/>
    </row>
    <row r="16" spans="1:19" outlineLevel="1" x14ac:dyDescent="0.2">
      <c r="B16" s="27" t="s">
        <v>56</v>
      </c>
      <c r="E16"/>
      <c r="F16"/>
      <c r="P16" s="21" t="s">
        <v>17</v>
      </c>
      <c r="Q16" s="22"/>
      <c r="R16" s="23"/>
      <c r="S16" s="24"/>
    </row>
    <row r="17" spans="2:19" ht="25.5" outlineLevel="1" x14ac:dyDescent="0.2">
      <c r="B17" s="2" t="s">
        <v>58</v>
      </c>
      <c r="C17" s="28">
        <v>12</v>
      </c>
      <c r="E17"/>
      <c r="F17"/>
      <c r="P17" s="21" t="s">
        <v>60</v>
      </c>
      <c r="Q17" s="22"/>
      <c r="R17" s="23"/>
      <c r="S17" s="24"/>
    </row>
    <row r="18" spans="2:19" outlineLevel="1" x14ac:dyDescent="0.2">
      <c r="B18" s="2" t="s">
        <v>44</v>
      </c>
      <c r="C18" s="28">
        <f>INT(C15/C17)</f>
        <v>114</v>
      </c>
      <c r="E18"/>
      <c r="F18"/>
      <c r="P18" s="21"/>
      <c r="Q18" s="22"/>
      <c r="R18" s="23"/>
      <c r="S18" s="24"/>
    </row>
    <row r="19" spans="2:19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1"/>
      <c r="Q19" s="22"/>
      <c r="R19" s="23"/>
      <c r="S19" s="24"/>
    </row>
    <row r="20" spans="2:19" outlineLevel="1" x14ac:dyDescent="0.2">
      <c r="B20" s="30">
        <f>C18</f>
        <v>114</v>
      </c>
      <c r="D20" s="20" t="s">
        <v>14</v>
      </c>
      <c r="E20" s="20" t="s">
        <v>16</v>
      </c>
      <c r="F20"/>
      <c r="P20" s="21"/>
      <c r="Q20" s="22"/>
      <c r="R20" s="23"/>
      <c r="S20" s="24"/>
    </row>
    <row r="21" spans="2:19" outlineLevel="1" x14ac:dyDescent="0.2">
      <c r="B21" s="31">
        <f>B20+$C$18</f>
        <v>228</v>
      </c>
      <c r="D21" s="32">
        <v>114</v>
      </c>
      <c r="E21" s="18">
        <v>0</v>
      </c>
      <c r="F21"/>
      <c r="P21" s="21"/>
      <c r="Q21" s="22"/>
      <c r="R21" s="23"/>
      <c r="S21" s="24"/>
    </row>
    <row r="22" spans="2:19" outlineLevel="1" x14ac:dyDescent="0.2">
      <c r="B22" s="31">
        <f t="shared" ref="B22:B31" si="0">B21+$C$18</f>
        <v>342</v>
      </c>
      <c r="D22" s="32">
        <v>228</v>
      </c>
      <c r="E22" s="18">
        <v>2</v>
      </c>
      <c r="F22"/>
      <c r="P22" s="21"/>
      <c r="Q22" s="22"/>
      <c r="R22" s="23"/>
      <c r="S22" s="24"/>
    </row>
    <row r="23" spans="2:19" outlineLevel="1" x14ac:dyDescent="0.2">
      <c r="B23" s="31">
        <f>B22+$C$18</f>
        <v>456</v>
      </c>
      <c r="D23" s="32">
        <v>342</v>
      </c>
      <c r="E23" s="18">
        <v>3</v>
      </c>
      <c r="F23"/>
      <c r="P23" s="21"/>
      <c r="Q23" s="22"/>
      <c r="R23" s="23"/>
      <c r="S23" s="24"/>
    </row>
    <row r="24" spans="2:19" outlineLevel="1" x14ac:dyDescent="0.2">
      <c r="B24" s="31">
        <f t="shared" si="0"/>
        <v>570</v>
      </c>
      <c r="D24" s="32">
        <v>456</v>
      </c>
      <c r="E24" s="18">
        <v>7</v>
      </c>
      <c r="F24"/>
      <c r="P24" s="21"/>
      <c r="Q24" s="22"/>
      <c r="R24" s="23"/>
      <c r="S24" s="24"/>
    </row>
    <row r="25" spans="2:19" outlineLevel="1" x14ac:dyDescent="0.2">
      <c r="B25" s="31">
        <f t="shared" si="0"/>
        <v>684</v>
      </c>
      <c r="D25" s="32">
        <v>570</v>
      </c>
      <c r="E25" s="18">
        <v>14</v>
      </c>
      <c r="F25"/>
      <c r="P25" s="21"/>
      <c r="Q25" s="22"/>
      <c r="R25" s="23"/>
      <c r="S25" s="24"/>
    </row>
    <row r="26" spans="2:19" outlineLevel="1" x14ac:dyDescent="0.2">
      <c r="B26" s="31">
        <f t="shared" si="0"/>
        <v>798</v>
      </c>
      <c r="D26" s="32">
        <v>684</v>
      </c>
      <c r="E26" s="18">
        <v>15</v>
      </c>
      <c r="F26"/>
      <c r="P26" s="21"/>
      <c r="Q26" s="22"/>
      <c r="R26" s="23"/>
      <c r="S26" s="24"/>
    </row>
    <row r="27" spans="2:19" outlineLevel="1" x14ac:dyDescent="0.2">
      <c r="B27" s="31">
        <f t="shared" si="0"/>
        <v>912</v>
      </c>
      <c r="D27" s="32">
        <v>798</v>
      </c>
      <c r="E27" s="18">
        <v>18</v>
      </c>
      <c r="F27"/>
      <c r="P27" s="21"/>
      <c r="Q27" s="22"/>
      <c r="R27" s="23"/>
      <c r="S27" s="24"/>
    </row>
    <row r="28" spans="2:19" outlineLevel="1" x14ac:dyDescent="0.2">
      <c r="B28" s="31">
        <f t="shared" si="0"/>
        <v>1026</v>
      </c>
      <c r="D28" s="32">
        <v>912</v>
      </c>
      <c r="E28" s="18">
        <v>12</v>
      </c>
      <c r="F28"/>
      <c r="P28" s="21"/>
      <c r="Q28" s="22"/>
      <c r="R28" s="23"/>
      <c r="S28" s="24"/>
    </row>
    <row r="29" spans="2:19" outlineLevel="1" x14ac:dyDescent="0.2">
      <c r="B29" s="31">
        <f t="shared" si="0"/>
        <v>1140</v>
      </c>
      <c r="D29" s="32">
        <v>1026</v>
      </c>
      <c r="E29" s="18">
        <v>9</v>
      </c>
      <c r="F29"/>
      <c r="P29" s="21"/>
      <c r="Q29" s="22"/>
      <c r="R29" s="23"/>
      <c r="S29" s="24"/>
    </row>
    <row r="30" spans="2:19" outlineLevel="1" x14ac:dyDescent="0.2">
      <c r="B30" s="31">
        <f t="shared" si="0"/>
        <v>1254</v>
      </c>
      <c r="D30" s="32">
        <v>1140</v>
      </c>
      <c r="E30" s="18">
        <v>13</v>
      </c>
      <c r="F30"/>
      <c r="P30" s="21"/>
      <c r="Q30" s="22"/>
      <c r="R30" s="23"/>
      <c r="S30" s="24"/>
    </row>
    <row r="31" spans="2:19" outlineLevel="1" x14ac:dyDescent="0.2">
      <c r="B31" s="31">
        <f t="shared" si="0"/>
        <v>1368</v>
      </c>
      <c r="D31" s="32">
        <v>1254</v>
      </c>
      <c r="E31" s="18">
        <v>2</v>
      </c>
      <c r="P31" s="21"/>
      <c r="Q31" s="22"/>
      <c r="R31" s="23"/>
      <c r="S31" s="24"/>
    </row>
    <row r="32" spans="2:19" outlineLevel="1" x14ac:dyDescent="0.2">
      <c r="D32" s="32">
        <v>1368</v>
      </c>
      <c r="E32" s="18">
        <v>4</v>
      </c>
      <c r="P32" s="21"/>
      <c r="Q32" s="22"/>
      <c r="R32" s="23"/>
      <c r="S32" s="24"/>
    </row>
    <row r="33" spans="2:19" ht="13.5" outlineLevel="1" thickBot="1" x14ac:dyDescent="0.25">
      <c r="D33" s="19" t="s">
        <v>15</v>
      </c>
      <c r="E33" s="19">
        <v>1</v>
      </c>
      <c r="P33" s="21"/>
      <c r="Q33" s="22"/>
      <c r="R33" s="23"/>
      <c r="S33" s="24"/>
    </row>
    <row r="34" spans="2:19" outlineLevel="1" x14ac:dyDescent="0.2">
      <c r="P34" s="21" t="s">
        <v>19</v>
      </c>
      <c r="Q34" s="22"/>
      <c r="R34" s="23" t="s">
        <v>21</v>
      </c>
      <c r="S34" s="24"/>
    </row>
    <row r="35" spans="2:19" ht="25.5" outlineLevel="1" x14ac:dyDescent="0.2">
      <c r="P35" s="21" t="s">
        <v>20</v>
      </c>
      <c r="Q35" s="22"/>
      <c r="R35" s="23" t="s">
        <v>23</v>
      </c>
      <c r="S35" s="24"/>
    </row>
    <row r="36" spans="2:19" outlineLevel="1" x14ac:dyDescent="0.2">
      <c r="B36" s="27" t="s">
        <v>75</v>
      </c>
      <c r="P36" s="21" t="s">
        <v>24</v>
      </c>
      <c r="Q36" s="22"/>
      <c r="R36" s="23" t="s">
        <v>76</v>
      </c>
      <c r="S36" s="24"/>
    </row>
    <row r="37" spans="2:19" outlineLevel="1" x14ac:dyDescent="0.2">
      <c r="B37" s="16" t="s">
        <v>18</v>
      </c>
      <c r="C37" s="29">
        <f>_xlfn.VAR.S('Data Set'!B7:B106)</f>
        <v>72701.846868686902</v>
      </c>
      <c r="P37" s="21"/>
      <c r="Q37" s="22"/>
      <c r="R37" s="23" t="s">
        <v>25</v>
      </c>
      <c r="S37" s="24"/>
    </row>
    <row r="38" spans="2:19" outlineLevel="1" x14ac:dyDescent="0.2">
      <c r="P38" s="21"/>
      <c r="Q38" s="22"/>
      <c r="R38" s="23"/>
      <c r="S38" s="24"/>
    </row>
    <row r="39" spans="2:19" ht="25.5" outlineLevel="1" x14ac:dyDescent="0.2">
      <c r="B39" s="27" t="s">
        <v>77</v>
      </c>
      <c r="P39" s="21" t="s">
        <v>29</v>
      </c>
      <c r="Q39" s="22"/>
      <c r="R39" s="23"/>
      <c r="S39" s="24"/>
    </row>
    <row r="40" spans="2:19" outlineLevel="1" x14ac:dyDescent="0.2">
      <c r="B40" s="16" t="s">
        <v>26</v>
      </c>
      <c r="C40" s="29">
        <f>_xlfn.COVARIANCE.S('Data Set'!$B$7:$B$106,'Data Set'!$C$7:$C$106)</f>
        <v>1715989.3147474739</v>
      </c>
      <c r="P40" s="21" t="s">
        <v>24</v>
      </c>
      <c r="Q40" s="22"/>
      <c r="R40" s="23"/>
      <c r="S40" s="24"/>
    </row>
    <row r="41" spans="2:19" outlineLevel="1" x14ac:dyDescent="0.2">
      <c r="P41" s="21"/>
      <c r="Q41" s="22"/>
      <c r="R41" s="23"/>
      <c r="S41" s="24"/>
    </row>
    <row r="42" spans="2:19" outlineLevel="1" x14ac:dyDescent="0.2">
      <c r="B42" s="27" t="s">
        <v>78</v>
      </c>
      <c r="P42" s="21" t="s">
        <v>30</v>
      </c>
      <c r="Q42" s="22"/>
      <c r="R42" s="23" t="s">
        <v>31</v>
      </c>
      <c r="S42" s="24"/>
    </row>
    <row r="43" spans="2:19" ht="38.25" outlineLevel="1" x14ac:dyDescent="0.2">
      <c r="B43" s="16" t="s">
        <v>27</v>
      </c>
      <c r="C43" s="29">
        <f>CORREL('Data Set'!$B$7:$B$106,'Data Set'!$C$7:$C$106)</f>
        <v>0.78718999527188227</v>
      </c>
      <c r="P43" s="21" t="s">
        <v>32</v>
      </c>
      <c r="Q43" s="22"/>
      <c r="R43" s="23" t="s">
        <v>79</v>
      </c>
      <c r="S43" s="24"/>
    </row>
    <row r="44" spans="2:19" outlineLevel="1" x14ac:dyDescent="0.2">
      <c r="P44" s="21" t="s">
        <v>33</v>
      </c>
      <c r="Q44" s="22"/>
      <c r="R44" s="23"/>
      <c r="S44" s="24"/>
    </row>
    <row r="45" spans="2:19" outlineLevel="1" x14ac:dyDescent="0.2">
      <c r="B45" s="27" t="s">
        <v>80</v>
      </c>
      <c r="P45" s="21" t="s">
        <v>35</v>
      </c>
      <c r="Q45" s="22"/>
      <c r="R45" s="23"/>
      <c r="S45" s="24"/>
    </row>
    <row r="46" spans="2:19" outlineLevel="1" x14ac:dyDescent="0.2">
      <c r="B46" s="16" t="s">
        <v>28</v>
      </c>
      <c r="C46" s="29">
        <f>RSQ('Data Set'!$C$7:$C$106,'Data Set'!$B$7:$B$106)</f>
        <v>0.61966808865614598</v>
      </c>
      <c r="P46" s="21"/>
      <c r="Q46" s="22"/>
      <c r="R46" s="23"/>
      <c r="S46" s="24"/>
    </row>
    <row r="47" spans="2:19" ht="25.5" outlineLevel="1" x14ac:dyDescent="0.2">
      <c r="P47" s="21" t="s">
        <v>34</v>
      </c>
      <c r="Q47" s="22"/>
      <c r="R47" s="23" t="s">
        <v>37</v>
      </c>
      <c r="S47" s="24"/>
    </row>
    <row r="48" spans="2:19" ht="27" outlineLevel="1" x14ac:dyDescent="0.3">
      <c r="B48" s="4" t="s">
        <v>93</v>
      </c>
      <c r="P48" s="21" t="s">
        <v>81</v>
      </c>
      <c r="Q48" s="22"/>
      <c r="R48" s="23"/>
      <c r="S48" s="24"/>
    </row>
    <row r="49" spans="2:19" outlineLevel="1" x14ac:dyDescent="0.2">
      <c r="B49" s="27" t="s">
        <v>64</v>
      </c>
      <c r="P49" s="21" t="s">
        <v>36</v>
      </c>
      <c r="Q49" s="22"/>
      <c r="R49" s="23"/>
      <c r="S49" s="24"/>
    </row>
    <row r="50" spans="2:19" ht="24" customHeight="1" outlineLevel="1" x14ac:dyDescent="0.2">
      <c r="P50" s="21" t="s">
        <v>38</v>
      </c>
      <c r="Q50" s="22"/>
      <c r="R50" s="23"/>
      <c r="S50" s="24"/>
    </row>
    <row r="51" spans="2:19" outlineLevel="1" x14ac:dyDescent="0.2">
      <c r="B51" s="27" t="s">
        <v>73</v>
      </c>
      <c r="P51" s="7"/>
      <c r="Q51" s="8"/>
      <c r="R51" s="9"/>
      <c r="S51" s="24"/>
    </row>
    <row r="52" spans="2:19" x14ac:dyDescent="0.2">
      <c r="B52" s="16" t="s">
        <v>6</v>
      </c>
      <c r="C52" s="29">
        <f>_xlfn.STDEV.S('Data Set'!$C$7:$C$106)</f>
        <v>8084.6698894021656</v>
      </c>
      <c r="E52"/>
      <c r="F52"/>
      <c r="P52" s="7"/>
      <c r="Q52" s="8"/>
      <c r="R52" s="9"/>
    </row>
    <row r="53" spans="2:19" outlineLevel="1" x14ac:dyDescent="0.2">
      <c r="E53"/>
      <c r="F53"/>
      <c r="P53" s="7"/>
      <c r="Q53" s="8"/>
      <c r="R53" s="9"/>
    </row>
    <row r="54" spans="2:19" outlineLevel="1" x14ac:dyDescent="0.2">
      <c r="B54" s="27" t="s">
        <v>74</v>
      </c>
      <c r="E54"/>
      <c r="F54"/>
      <c r="P54" s="7"/>
      <c r="Q54" s="8"/>
      <c r="R54" s="9"/>
    </row>
    <row r="55" spans="2:19" outlineLevel="1" x14ac:dyDescent="0.2">
      <c r="B55" s="27" t="s">
        <v>55</v>
      </c>
      <c r="E55"/>
      <c r="F55"/>
      <c r="P55" s="7"/>
      <c r="Q55" s="8"/>
      <c r="R55" s="9"/>
    </row>
    <row r="56" spans="2:19" outlineLevel="1" x14ac:dyDescent="0.2">
      <c r="B56" s="16" t="s">
        <v>11</v>
      </c>
      <c r="C56" s="28">
        <f>MIN('Data Set'!$C$7:$C$106)</f>
        <v>1991</v>
      </c>
      <c r="E56"/>
      <c r="F56"/>
      <c r="P56" s="7"/>
      <c r="Q56" s="8"/>
      <c r="R56" s="9"/>
    </row>
    <row r="57" spans="2:19" outlineLevel="1" x14ac:dyDescent="0.2">
      <c r="B57" s="16" t="s">
        <v>12</v>
      </c>
      <c r="C57" s="28">
        <f>MAX('Data Set'!$C$7:$C$106)</f>
        <v>42990</v>
      </c>
      <c r="E57"/>
      <c r="F57"/>
      <c r="P57" s="7"/>
      <c r="Q57" s="8"/>
      <c r="R57" s="9"/>
    </row>
    <row r="58" spans="2:19" outlineLevel="1" x14ac:dyDescent="0.2">
      <c r="B58" s="27" t="s">
        <v>56</v>
      </c>
      <c r="E58"/>
      <c r="F58"/>
      <c r="P58" s="7"/>
      <c r="Q58" s="8"/>
      <c r="R58" s="9"/>
    </row>
    <row r="59" spans="2:19" outlineLevel="1" x14ac:dyDescent="0.2">
      <c r="B59" s="2" t="s">
        <v>58</v>
      </c>
      <c r="C59" s="28">
        <v>12</v>
      </c>
      <c r="E59"/>
      <c r="F59"/>
      <c r="P59" s="7"/>
      <c r="Q59" s="8"/>
      <c r="R59" s="9"/>
    </row>
    <row r="60" spans="2:19" outlineLevel="1" x14ac:dyDescent="0.2">
      <c r="B60" s="2" t="s">
        <v>44</v>
      </c>
      <c r="C60" s="28">
        <f>INT(C57/C59)</f>
        <v>3582</v>
      </c>
      <c r="E60"/>
      <c r="F60"/>
      <c r="P60" s="7"/>
      <c r="Q60" s="8"/>
      <c r="R60" s="9"/>
    </row>
    <row r="61" spans="2:19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  <c r="P61" s="7"/>
      <c r="Q61" s="8"/>
      <c r="R61" s="9"/>
    </row>
    <row r="62" spans="2:19" outlineLevel="1" x14ac:dyDescent="0.2">
      <c r="B62" s="30">
        <f>C60</f>
        <v>3582</v>
      </c>
      <c r="D62" s="20" t="s">
        <v>14</v>
      </c>
      <c r="E62" s="20" t="s">
        <v>16</v>
      </c>
      <c r="F62"/>
      <c r="P62" s="7"/>
      <c r="Q62" s="8"/>
      <c r="R62" s="9"/>
    </row>
    <row r="63" spans="2:19" outlineLevel="1" x14ac:dyDescent="0.2">
      <c r="B63" s="31">
        <f>B62+$C$60</f>
        <v>7164</v>
      </c>
      <c r="D63" s="32">
        <v>3582</v>
      </c>
      <c r="E63" s="18">
        <v>1</v>
      </c>
      <c r="F63"/>
      <c r="P63" s="7"/>
      <c r="Q63" s="8"/>
      <c r="R63" s="9"/>
    </row>
    <row r="64" spans="2:19" outlineLevel="1" x14ac:dyDescent="0.2">
      <c r="B64" s="31">
        <f t="shared" ref="B64:B73" si="1">B63+$C$60</f>
        <v>10746</v>
      </c>
      <c r="D64" s="32">
        <v>7164</v>
      </c>
      <c r="E64" s="18">
        <v>5</v>
      </c>
      <c r="F64"/>
      <c r="P64" s="7"/>
      <c r="Q64" s="8"/>
      <c r="R64" s="9"/>
    </row>
    <row r="65" spans="2:18" outlineLevel="1" x14ac:dyDescent="0.2">
      <c r="B65" s="31">
        <f t="shared" si="1"/>
        <v>14328</v>
      </c>
      <c r="D65" s="32">
        <v>10746</v>
      </c>
      <c r="E65" s="18">
        <v>10</v>
      </c>
      <c r="F65"/>
      <c r="P65" s="7"/>
      <c r="Q65" s="8"/>
      <c r="R65" s="9"/>
    </row>
    <row r="66" spans="2:18" outlineLevel="1" x14ac:dyDescent="0.2">
      <c r="B66" s="31">
        <f t="shared" si="1"/>
        <v>17910</v>
      </c>
      <c r="D66" s="32">
        <v>14328</v>
      </c>
      <c r="E66" s="18">
        <v>12</v>
      </c>
      <c r="F66"/>
      <c r="P66" s="7"/>
      <c r="Q66" s="8"/>
      <c r="R66" s="9"/>
    </row>
    <row r="67" spans="2:18" outlineLevel="1" x14ac:dyDescent="0.2">
      <c r="B67" s="31">
        <f t="shared" si="1"/>
        <v>21492</v>
      </c>
      <c r="D67" s="32">
        <v>17910</v>
      </c>
      <c r="E67" s="18">
        <v>12</v>
      </c>
      <c r="F67"/>
      <c r="P67" s="7"/>
      <c r="Q67" s="8"/>
      <c r="R67" s="9"/>
    </row>
    <row r="68" spans="2:18" outlineLevel="1" x14ac:dyDescent="0.2">
      <c r="B68" s="31">
        <f t="shared" si="1"/>
        <v>25074</v>
      </c>
      <c r="D68" s="32">
        <v>21492</v>
      </c>
      <c r="E68" s="18">
        <v>13</v>
      </c>
      <c r="F68"/>
      <c r="P68" s="7"/>
      <c r="Q68" s="8"/>
      <c r="R68" s="9"/>
    </row>
    <row r="69" spans="2:18" outlineLevel="1" x14ac:dyDescent="0.2">
      <c r="B69" s="31">
        <f t="shared" si="1"/>
        <v>28656</v>
      </c>
      <c r="D69" s="32">
        <v>25074</v>
      </c>
      <c r="E69" s="18">
        <v>22</v>
      </c>
      <c r="F69"/>
      <c r="P69" s="7"/>
      <c r="Q69" s="8"/>
      <c r="R69" s="9"/>
    </row>
    <row r="70" spans="2:18" outlineLevel="1" x14ac:dyDescent="0.2">
      <c r="B70" s="31">
        <f t="shared" si="1"/>
        <v>32238</v>
      </c>
      <c r="D70" s="32">
        <v>28656</v>
      </c>
      <c r="E70" s="18">
        <v>9</v>
      </c>
      <c r="F70"/>
      <c r="P70" s="7"/>
      <c r="Q70" s="8"/>
      <c r="R70" s="9"/>
    </row>
    <row r="71" spans="2:18" outlineLevel="1" x14ac:dyDescent="0.2">
      <c r="B71" s="31">
        <f t="shared" si="1"/>
        <v>35820</v>
      </c>
      <c r="D71" s="32">
        <v>32238</v>
      </c>
      <c r="E71" s="18">
        <v>12</v>
      </c>
      <c r="F71"/>
      <c r="P71" s="7"/>
      <c r="Q71" s="8"/>
      <c r="R71" s="9"/>
    </row>
    <row r="72" spans="2:18" outlineLevel="1" x14ac:dyDescent="0.2">
      <c r="B72" s="31">
        <f t="shared" si="1"/>
        <v>39402</v>
      </c>
      <c r="D72" s="32">
        <v>35820</v>
      </c>
      <c r="E72" s="18">
        <v>2</v>
      </c>
      <c r="F72"/>
      <c r="P72" s="7"/>
      <c r="Q72" s="8"/>
      <c r="R72" s="9"/>
    </row>
    <row r="73" spans="2:18" outlineLevel="1" x14ac:dyDescent="0.2">
      <c r="B73" s="31">
        <f t="shared" si="1"/>
        <v>42984</v>
      </c>
      <c r="D73" s="32">
        <v>39402</v>
      </c>
      <c r="E73" s="18">
        <v>1</v>
      </c>
      <c r="P73" s="7"/>
      <c r="Q73" s="8"/>
      <c r="R73" s="9"/>
    </row>
    <row r="74" spans="2:18" outlineLevel="1" x14ac:dyDescent="0.2">
      <c r="D74" s="32">
        <v>42984</v>
      </c>
      <c r="E74" s="18">
        <v>0</v>
      </c>
      <c r="P74" s="7"/>
      <c r="Q74" s="8"/>
      <c r="R74" s="9"/>
    </row>
    <row r="75" spans="2:18" ht="13.5" outlineLevel="1" thickBot="1" x14ac:dyDescent="0.25">
      <c r="D75" s="19" t="s">
        <v>15</v>
      </c>
      <c r="E75" s="19">
        <v>1</v>
      </c>
      <c r="P75" s="7"/>
      <c r="Q75" s="8"/>
      <c r="R75" s="9"/>
    </row>
    <row r="76" spans="2:18" outlineLevel="1" x14ac:dyDescent="0.2">
      <c r="P76" s="7"/>
      <c r="Q76" s="8"/>
      <c r="R76" s="9"/>
    </row>
    <row r="77" spans="2:18" outlineLevel="1" x14ac:dyDescent="0.2">
      <c r="P77" s="7"/>
      <c r="Q77" s="8"/>
      <c r="R77" s="9"/>
    </row>
    <row r="78" spans="2:18" outlineLevel="1" x14ac:dyDescent="0.2">
      <c r="B78" s="27" t="s">
        <v>75</v>
      </c>
      <c r="P78" s="7"/>
      <c r="Q78" s="8"/>
      <c r="R78" s="9"/>
    </row>
    <row r="79" spans="2:18" outlineLevel="1" x14ac:dyDescent="0.2">
      <c r="B79" s="16" t="s">
        <v>18</v>
      </c>
      <c r="C79" s="29">
        <f>_xlfn.VAR.S('Data Set'!C53:C152)</f>
        <v>72656469.034591168</v>
      </c>
      <c r="P79" s="7"/>
      <c r="Q79" s="8"/>
      <c r="R79" s="9"/>
    </row>
    <row r="80" spans="2:18" outlineLevel="1" x14ac:dyDescent="0.2">
      <c r="P80" s="7"/>
      <c r="Q80" s="8"/>
      <c r="R80" s="9"/>
    </row>
    <row r="81" spans="2:18" outlineLevel="1" x14ac:dyDescent="0.2">
      <c r="B81" s="27" t="s">
        <v>77</v>
      </c>
      <c r="P81" s="7"/>
      <c r="Q81" s="8"/>
      <c r="R81" s="9"/>
    </row>
    <row r="82" spans="2:18" outlineLevel="1" x14ac:dyDescent="0.2">
      <c r="B82" s="16" t="s">
        <v>26</v>
      </c>
      <c r="C82" s="29">
        <f>_xlfn.COVARIANCE.S('Data Set'!$C$7:$C$106,'Data Set'!$B$7:$B$106)</f>
        <v>1715989.3147474739</v>
      </c>
      <c r="P82" s="7" t="s">
        <v>63</v>
      </c>
      <c r="Q82" s="8"/>
      <c r="R82" s="9"/>
    </row>
    <row r="83" spans="2:18" outlineLevel="1" x14ac:dyDescent="0.2">
      <c r="P83" s="7"/>
      <c r="Q83" s="8"/>
      <c r="R83" s="9"/>
    </row>
    <row r="84" spans="2:18" outlineLevel="1" x14ac:dyDescent="0.2">
      <c r="B84" s="27" t="s">
        <v>78</v>
      </c>
      <c r="P84" s="7"/>
      <c r="Q84" s="8"/>
      <c r="R84" s="9"/>
    </row>
    <row r="85" spans="2:18" outlineLevel="1" x14ac:dyDescent="0.2">
      <c r="B85" s="16" t="s">
        <v>27</v>
      </c>
      <c r="C85" s="29">
        <f>CORREL('Data Set'!$C$7:$C$106,'Data Set'!$B$7:$B$106)</f>
        <v>0.78718999527188227</v>
      </c>
      <c r="P85" s="7"/>
      <c r="Q85" s="8"/>
      <c r="R85" s="9"/>
    </row>
    <row r="86" spans="2:18" outlineLevel="1" x14ac:dyDescent="0.2">
      <c r="P86" s="7"/>
      <c r="Q86" s="8"/>
      <c r="R86" s="9"/>
    </row>
    <row r="87" spans="2:18" outlineLevel="1" x14ac:dyDescent="0.2">
      <c r="B87" s="27" t="s">
        <v>80</v>
      </c>
      <c r="P87" s="7"/>
      <c r="Q87" s="8"/>
      <c r="R87" s="9"/>
    </row>
    <row r="88" spans="2:18" outlineLevel="1" x14ac:dyDescent="0.2">
      <c r="B88" s="16" t="s">
        <v>28</v>
      </c>
      <c r="C88" s="29">
        <f>RSQ('Data Set'!$B$7:$B$106,'Data Set'!$C$7:$C$106)</f>
        <v>0.61966808865614598</v>
      </c>
      <c r="P88" s="7"/>
      <c r="Q88" s="8"/>
      <c r="R88" s="9"/>
    </row>
    <row r="89" spans="2:18" outlineLevel="1" x14ac:dyDescent="0.2">
      <c r="P89" s="7"/>
      <c r="Q89" s="8"/>
      <c r="R89" s="9"/>
    </row>
    <row r="90" spans="2:18" outlineLevel="1" x14ac:dyDescent="0.2">
      <c r="P90" s="7"/>
      <c r="Q90" s="8"/>
      <c r="R90" s="9"/>
    </row>
    <row r="91" spans="2:18" ht="18.75" outlineLevel="1" x14ac:dyDescent="0.3">
      <c r="B91" s="4" t="s">
        <v>94</v>
      </c>
      <c r="P91" s="7"/>
      <c r="Q91" s="8"/>
      <c r="R91" s="9"/>
    </row>
    <row r="92" spans="2:18" outlineLevel="1" x14ac:dyDescent="0.2">
      <c r="B92" s="27" t="s">
        <v>82</v>
      </c>
      <c r="P92" s="7" t="s">
        <v>83</v>
      </c>
      <c r="Q92" s="8"/>
      <c r="R92" s="9" t="s">
        <v>84</v>
      </c>
    </row>
    <row r="93" spans="2:18" outlineLevel="1" x14ac:dyDescent="0.2">
      <c r="B93" s="27" t="s">
        <v>66</v>
      </c>
      <c r="P93" s="7" t="s">
        <v>39</v>
      </c>
      <c r="Q93" s="8"/>
      <c r="R93" s="9" t="s">
        <v>85</v>
      </c>
    </row>
    <row r="94" spans="2:18" outlineLevel="1" x14ac:dyDescent="0.2">
      <c r="B94" s="27" t="s">
        <v>67</v>
      </c>
      <c r="P94" s="7" t="s">
        <v>40</v>
      </c>
      <c r="Q94" s="8"/>
      <c r="R94" s="9"/>
    </row>
    <row r="95" spans="2:18" outlineLevel="1" x14ac:dyDescent="0.2">
      <c r="P95" s="7" t="s">
        <v>41</v>
      </c>
      <c r="Q95" s="8"/>
      <c r="R95" s="9"/>
    </row>
    <row r="96" spans="2:18" outlineLevel="1" x14ac:dyDescent="0.2">
      <c r="P96" s="7" t="s">
        <v>42</v>
      </c>
      <c r="Q96" s="8"/>
      <c r="R96" s="9"/>
    </row>
    <row r="97" spans="16:18" outlineLevel="1" x14ac:dyDescent="0.2">
      <c r="P97" s="7" t="s">
        <v>86</v>
      </c>
      <c r="Q97" s="8"/>
      <c r="R97" s="9"/>
    </row>
    <row r="98" spans="16:18" ht="25.5" x14ac:dyDescent="0.2">
      <c r="P98" s="21" t="s">
        <v>51</v>
      </c>
      <c r="Q98" s="8"/>
      <c r="R98" s="9" t="s">
        <v>52</v>
      </c>
    </row>
    <row r="99" spans="16:18" outlineLevel="1" x14ac:dyDescent="0.2">
      <c r="P99" s="7"/>
      <c r="Q99" s="8"/>
      <c r="R99" s="9" t="s">
        <v>53</v>
      </c>
    </row>
    <row r="100" spans="16:18" outlineLevel="1" x14ac:dyDescent="0.2">
      <c r="P100" s="7"/>
      <c r="Q100" s="8"/>
      <c r="R100" s="9"/>
    </row>
    <row r="101" spans="16:18" outlineLevel="1" x14ac:dyDescent="0.2">
      <c r="P101" s="7"/>
      <c r="Q101" s="8"/>
      <c r="R101" s="9"/>
    </row>
    <row r="102" spans="16:18" outlineLevel="1" x14ac:dyDescent="0.2">
      <c r="P102" s="21"/>
      <c r="Q102" s="8"/>
      <c r="R102" s="9"/>
    </row>
    <row r="103" spans="16:18" outlineLevel="1" x14ac:dyDescent="0.2">
      <c r="P103" s="7"/>
      <c r="Q103" s="8"/>
      <c r="R103" s="9"/>
    </row>
    <row r="104" spans="16:18" outlineLevel="1" x14ac:dyDescent="0.2">
      <c r="P104" s="7"/>
      <c r="Q104" s="8"/>
      <c r="R104" s="9"/>
    </row>
    <row r="105" spans="16:18" outlineLevel="1" x14ac:dyDescent="0.2">
      <c r="P105" s="7"/>
      <c r="Q105" s="8"/>
      <c r="R105" s="9"/>
    </row>
    <row r="106" spans="16:18" outlineLevel="1" x14ac:dyDescent="0.2">
      <c r="P106" s="7"/>
      <c r="Q106" s="8"/>
      <c r="R106" s="9"/>
    </row>
    <row r="107" spans="16:18" outlineLevel="1" x14ac:dyDescent="0.2">
      <c r="P107" s="7"/>
      <c r="Q107" s="8"/>
      <c r="R107" s="9"/>
    </row>
    <row r="108" spans="16:18" outlineLevel="1" x14ac:dyDescent="0.2">
      <c r="P108" s="7"/>
      <c r="Q108" s="8"/>
      <c r="R108" s="9"/>
    </row>
    <row r="109" spans="16:18" outlineLevel="1" x14ac:dyDescent="0.2">
      <c r="P109" s="7"/>
      <c r="Q109" s="8"/>
      <c r="R109" s="9"/>
    </row>
    <row r="110" spans="16:18" outlineLevel="1" x14ac:dyDescent="0.2">
      <c r="P110" s="7"/>
      <c r="Q110" s="8"/>
      <c r="R110" s="9"/>
    </row>
    <row r="111" spans="16:18" outlineLevel="1" x14ac:dyDescent="0.2">
      <c r="P111" s="7"/>
      <c r="Q111" s="8"/>
      <c r="R111" s="9"/>
    </row>
    <row r="112" spans="16:18" outlineLevel="1" x14ac:dyDescent="0.2">
      <c r="P112" s="7"/>
      <c r="Q112" s="8"/>
      <c r="R112" s="9"/>
    </row>
    <row r="113" spans="2:19" outlineLevel="1" x14ac:dyDescent="0.2">
      <c r="P113" s="7"/>
      <c r="Q113" s="8"/>
      <c r="R113" s="9"/>
    </row>
    <row r="114" spans="2:19" outlineLevel="1" x14ac:dyDescent="0.2">
      <c r="P114" s="7"/>
      <c r="Q114" s="8"/>
      <c r="R114" s="9"/>
    </row>
    <row r="115" spans="2:19" outlineLevel="1" x14ac:dyDescent="0.2">
      <c r="B115" s="27" t="s">
        <v>65</v>
      </c>
      <c r="P115" s="7"/>
      <c r="Q115" s="8"/>
      <c r="R115" s="9"/>
    </row>
    <row r="116" spans="2:19" outlineLevel="1" x14ac:dyDescent="0.2">
      <c r="B116" s="16" t="s">
        <v>68</v>
      </c>
      <c r="C116" s="29">
        <f>SLOPE('Data Set'!$C$7:$C$106,'Data Set'!$B$7:$B$106)</f>
        <v>23.603104854363224</v>
      </c>
      <c r="P116" s="7"/>
      <c r="Q116" s="8"/>
      <c r="R116" s="9"/>
    </row>
    <row r="117" spans="2:19" outlineLevel="1" x14ac:dyDescent="0.2">
      <c r="B117" s="16" t="s">
        <v>69</v>
      </c>
      <c r="C117" s="29">
        <f>INTERCEPT('Data Set'!$C$7:$C$106,'Data Set'!$B$7:$B$106)</f>
        <v>2140.5446164314853</v>
      </c>
      <c r="P117" s="7"/>
      <c r="Q117" s="8"/>
      <c r="R117" s="9"/>
    </row>
    <row r="118" spans="2:19" outlineLevel="1" x14ac:dyDescent="0.2">
      <c r="B118" s="16"/>
      <c r="C118" s="29"/>
      <c r="P118" s="7"/>
      <c r="Q118" s="8"/>
      <c r="R118" s="9"/>
    </row>
    <row r="119" spans="2:19" outlineLevel="1" x14ac:dyDescent="0.2">
      <c r="B119" s="27" t="s">
        <v>71</v>
      </c>
      <c r="P119" s="7"/>
      <c r="Q119" s="8"/>
      <c r="R119" s="9"/>
    </row>
    <row r="120" spans="2:19" outlineLevel="1" x14ac:dyDescent="0.2">
      <c r="B120" s="16" t="s">
        <v>45</v>
      </c>
      <c r="P120" s="7"/>
      <c r="Q120" s="8"/>
      <c r="R120" s="9"/>
    </row>
    <row r="121" spans="2:19" outlineLevel="1" x14ac:dyDescent="0.2">
      <c r="B121" s="33" t="s">
        <v>46</v>
      </c>
      <c r="C121" s="34" t="s">
        <v>47</v>
      </c>
      <c r="P121" s="7" t="s">
        <v>48</v>
      </c>
      <c r="Q121" s="8"/>
      <c r="R121" s="9"/>
    </row>
    <row r="122" spans="2:19" outlineLevel="1" x14ac:dyDescent="0.2">
      <c r="B122" s="36">
        <v>100</v>
      </c>
      <c r="C122" s="29">
        <f>FORECAST(B122,'Data Set'!$C$7:$C$106,'Data Set'!$B$7:$B$106)</f>
        <v>4500.8551018678081</v>
      </c>
      <c r="P122" s="7" t="s">
        <v>49</v>
      </c>
      <c r="Q122" s="8"/>
      <c r="R122" s="9"/>
    </row>
    <row r="123" spans="2:19" outlineLevel="1" x14ac:dyDescent="0.2">
      <c r="B123" s="36">
        <v>1500</v>
      </c>
      <c r="C123" s="29">
        <f>FORECAST(B123,'Data Set'!$C$7:$C$106,'Data Set'!$B$7:$B$106)</f>
        <v>37545.201897976323</v>
      </c>
      <c r="P123" s="7"/>
      <c r="Q123" s="8"/>
      <c r="R123" s="9"/>
    </row>
    <row r="124" spans="2:19" outlineLevel="1" x14ac:dyDescent="0.2">
      <c r="B124" s="16"/>
      <c r="P124" s="7"/>
      <c r="Q124" s="8"/>
      <c r="R124" s="9"/>
    </row>
    <row r="125" spans="2:19" ht="18.75" outlineLevel="1" x14ac:dyDescent="0.3">
      <c r="B125" s="4" t="s">
        <v>95</v>
      </c>
      <c r="P125" s="7"/>
      <c r="Q125" s="8"/>
      <c r="R125" s="9"/>
    </row>
    <row r="126" spans="2:19" outlineLevel="1" x14ac:dyDescent="0.2">
      <c r="B126" s="27" t="s">
        <v>87</v>
      </c>
      <c r="P126" s="7"/>
      <c r="Q126" s="8"/>
      <c r="R126" s="9"/>
      <c r="S126" s="35"/>
    </row>
    <row r="127" spans="2:19" outlineLevel="1" x14ac:dyDescent="0.2">
      <c r="B127" s="27" t="s">
        <v>66</v>
      </c>
      <c r="P127" s="7" t="s">
        <v>43</v>
      </c>
      <c r="Q127" s="8"/>
      <c r="R127" s="9"/>
    </row>
    <row r="128" spans="2:19" outlineLevel="1" x14ac:dyDescent="0.2">
      <c r="B128" s="27" t="s">
        <v>70</v>
      </c>
      <c r="P128" s="7" t="s">
        <v>88</v>
      </c>
      <c r="Q128" s="8"/>
      <c r="R128" s="9"/>
    </row>
    <row r="129" spans="16:18" x14ac:dyDescent="0.2">
      <c r="P129" s="7" t="s">
        <v>50</v>
      </c>
      <c r="Q129" s="8"/>
      <c r="R129" s="9"/>
    </row>
    <row r="130" spans="16:18" x14ac:dyDescent="0.2">
      <c r="P130" s="7" t="s">
        <v>54</v>
      </c>
      <c r="Q130" s="8"/>
      <c r="R130" s="9"/>
    </row>
    <row r="131" spans="16:18" x14ac:dyDescent="0.2">
      <c r="P131" s="7" t="s">
        <v>89</v>
      </c>
      <c r="Q131" s="8"/>
      <c r="R131" s="9"/>
    </row>
    <row r="132" spans="16:18" x14ac:dyDescent="0.2">
      <c r="P132" s="7"/>
      <c r="Q132" s="8"/>
      <c r="R132" s="9"/>
    </row>
    <row r="133" spans="16:18" x14ac:dyDescent="0.2">
      <c r="P133" s="7"/>
      <c r="Q133" s="8"/>
      <c r="R133" s="9"/>
    </row>
    <row r="134" spans="16:18" x14ac:dyDescent="0.2">
      <c r="P134" s="7"/>
      <c r="Q134" s="8"/>
      <c r="R134" s="9"/>
    </row>
    <row r="135" spans="16:18" x14ac:dyDescent="0.2">
      <c r="P135" s="7"/>
      <c r="Q135" s="8"/>
      <c r="R135" s="9"/>
    </row>
    <row r="136" spans="16:18" x14ac:dyDescent="0.2">
      <c r="P136" s="7"/>
      <c r="Q136" s="8"/>
      <c r="R136" s="9"/>
    </row>
    <row r="137" spans="16:18" x14ac:dyDescent="0.2">
      <c r="P137" s="7"/>
      <c r="Q137" s="8"/>
      <c r="R137" s="9"/>
    </row>
    <row r="138" spans="16:18" x14ac:dyDescent="0.2">
      <c r="P138" s="7"/>
      <c r="Q138" s="8"/>
      <c r="R138" s="9"/>
    </row>
    <row r="139" spans="16:18" x14ac:dyDescent="0.2">
      <c r="P139" s="7"/>
      <c r="Q139" s="8"/>
      <c r="R139" s="9"/>
    </row>
    <row r="140" spans="16:18" x14ac:dyDescent="0.2">
      <c r="P140" s="7"/>
      <c r="Q140" s="8"/>
      <c r="R140" s="9"/>
    </row>
    <row r="141" spans="16:18" x14ac:dyDescent="0.2">
      <c r="P141" s="7"/>
      <c r="Q141" s="8"/>
      <c r="R141" s="9"/>
    </row>
    <row r="142" spans="16:18" x14ac:dyDescent="0.2">
      <c r="P142" s="7"/>
      <c r="Q142" s="8"/>
      <c r="R142" s="9"/>
    </row>
    <row r="143" spans="16:18" x14ac:dyDescent="0.2">
      <c r="P143" s="7"/>
      <c r="Q143" s="8"/>
      <c r="R143" s="9"/>
    </row>
    <row r="144" spans="16:18" x14ac:dyDescent="0.2">
      <c r="P144" s="7"/>
      <c r="Q144" s="8"/>
      <c r="R144" s="9"/>
    </row>
    <row r="145" spans="2:18" x14ac:dyDescent="0.2">
      <c r="P145" s="7"/>
      <c r="Q145" s="8"/>
      <c r="R145" s="9"/>
    </row>
    <row r="146" spans="2:18" x14ac:dyDescent="0.2">
      <c r="P146" s="7"/>
      <c r="Q146" s="8"/>
      <c r="R146" s="9"/>
    </row>
    <row r="147" spans="2:18" x14ac:dyDescent="0.2">
      <c r="P147" s="7"/>
      <c r="Q147" s="8"/>
      <c r="R147" s="9"/>
    </row>
    <row r="148" spans="2:18" x14ac:dyDescent="0.2">
      <c r="P148" s="7"/>
      <c r="Q148" s="8"/>
      <c r="R148" s="9"/>
    </row>
    <row r="149" spans="2:18" x14ac:dyDescent="0.2">
      <c r="B149" s="27" t="s">
        <v>65</v>
      </c>
      <c r="P149" s="7"/>
      <c r="Q149" s="8"/>
      <c r="R149" s="9"/>
    </row>
    <row r="150" spans="2:18" x14ac:dyDescent="0.2">
      <c r="B150" s="16" t="s">
        <v>68</v>
      </c>
      <c r="C150" s="29">
        <f>SLOPE('Data Set'!B53:B152,'Data Set'!C53:C152)</f>
        <v>2.6419022842693804E-2</v>
      </c>
      <c r="P150" s="7"/>
      <c r="Q150" s="8"/>
      <c r="R150" s="9"/>
    </row>
    <row r="151" spans="2:18" ht="13.5" thickBot="1" x14ac:dyDescent="0.25">
      <c r="B151" s="16" t="s">
        <v>69</v>
      </c>
      <c r="C151" s="29">
        <f>INTERCEPT('Data Set'!B53:B152,'Data Set'!C53:C152)</f>
        <v>230.39630248270362</v>
      </c>
      <c r="P151" s="10"/>
      <c r="Q151" s="11"/>
      <c r="R151" s="12"/>
    </row>
    <row r="152" spans="2:18" x14ac:dyDescent="0.2">
      <c r="B152" s="16"/>
    </row>
    <row r="153" spans="2:18" x14ac:dyDescent="0.2">
      <c r="B153" s="27" t="s">
        <v>90</v>
      </c>
    </row>
    <row r="154" spans="2:18" x14ac:dyDescent="0.2">
      <c r="B154" s="16" t="s">
        <v>45</v>
      </c>
    </row>
    <row r="155" spans="2:18" x14ac:dyDescent="0.2">
      <c r="B155" s="33" t="s">
        <v>46</v>
      </c>
      <c r="C155" s="34" t="s">
        <v>47</v>
      </c>
    </row>
    <row r="156" spans="2:18" x14ac:dyDescent="0.2">
      <c r="B156" s="36">
        <v>100</v>
      </c>
      <c r="C156" s="29">
        <f>FORECAST(B156,'Data Set'!$B$7:$B$106,'Data Set'!$C$7:$C$106)</f>
        <v>232.99310015413502</v>
      </c>
    </row>
    <row r="157" spans="2:18" x14ac:dyDescent="0.2">
      <c r="B157" s="36">
        <v>500</v>
      </c>
      <c r="C157" s="29">
        <f>FORECAST(B157,'Data Set'!$B$7:$B$106,'Data Set'!$C$7:$C$106)</f>
        <v>243.49456752429072</v>
      </c>
    </row>
    <row r="158" spans="2:18" x14ac:dyDescent="0.2">
      <c r="B158" s="36">
        <v>10000</v>
      </c>
      <c r="C158" s="29">
        <f>FORECAST(B158,'Data Set'!$B$7:$B$106,'Data Set'!$C$7:$C$106)</f>
        <v>492.90441756548796</v>
      </c>
    </row>
    <row r="159" spans="2:18" x14ac:dyDescent="0.2">
      <c r="B159" s="36">
        <v>50000</v>
      </c>
      <c r="C159" s="29">
        <f>FORECAST(B159,'Data Set'!$B$7:$B$106,'Data Set'!$C$7:$C$106)</f>
        <v>1543.0511545810555</v>
      </c>
    </row>
  </sheetData>
  <sortState ref="D67:D78">
    <sortCondition ref="D67"/>
  </sortState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ction_Instruction_Send_To_1A">
                <anchor moveWithCells="1" sizeWithCells="1">
                  <from>
                    <xdr:col>9</xdr:col>
                    <xdr:colOff>390525</xdr:colOff>
                    <xdr:row>9</xdr:row>
                    <xdr:rowOff>95250</xdr:rowOff>
                  </from>
                  <to>
                    <xdr:col>13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Section_Instruction_Send_To_1B">
                <anchor moveWithCells="1" sizeWithCells="1">
                  <from>
                    <xdr:col>9</xdr:col>
                    <xdr:colOff>266700</xdr:colOff>
                    <xdr:row>53</xdr:row>
                    <xdr:rowOff>0</xdr:rowOff>
                  </from>
                  <to>
                    <xdr:col>12</xdr:col>
                    <xdr:colOff>457200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Section_Instruction_Send_To_2A">
                <anchor moveWithCells="1" sizeWithCells="1">
                  <from>
                    <xdr:col>11</xdr:col>
                    <xdr:colOff>133350</xdr:colOff>
                    <xdr:row>97</xdr:row>
                    <xdr:rowOff>247650</xdr:rowOff>
                  </from>
                  <to>
                    <xdr:col>14</xdr:col>
                    <xdr:colOff>323850</xdr:colOff>
                    <xdr:row>100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Section_Instruction_Send_To_2B">
                <anchor moveWithCells="1" sizeWithCells="1">
                  <from>
                    <xdr:col>11</xdr:col>
                    <xdr:colOff>266700</xdr:colOff>
                    <xdr:row>131</xdr:row>
                    <xdr:rowOff>123825</xdr:rowOff>
                  </from>
                  <to>
                    <xdr:col>14</xdr:col>
                    <xdr:colOff>457200</xdr:colOff>
                    <xdr:row>135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Introduction</vt:lpstr>
      <vt:lpstr>Table of Contents</vt:lpstr>
      <vt:lpstr>Data Set</vt:lpstr>
      <vt:lpstr>Section 1 - Instruction</vt:lpstr>
      <vt:lpstr>Section 1 - (ANS)</vt:lpstr>
      <vt:lpstr>BinCount_SocialMedia_Mentions</vt:lpstr>
      <vt:lpstr>Bins_SocialMedia_Mentions</vt:lpstr>
      <vt:lpstr>BinSize_SocialMedia_Mentions</vt:lpstr>
      <vt:lpstr>Correl_SocialMedia_WebsiteVisits</vt:lpstr>
      <vt:lpstr>CoVar_SocialMedia_Mentions</vt:lpstr>
      <vt:lpstr>Max_SocialMedia_Mentions</vt:lpstr>
      <vt:lpstr>Min_SocialMedia_Mentions</vt:lpstr>
      <vt:lpstr>Slope_WebsiteVisits_SocialMedia</vt:lpstr>
      <vt:lpstr>SocialMedia_Mentions</vt:lpstr>
      <vt:lpstr>StdDev_SocialMedia_Mentions</vt:lpstr>
      <vt:lpstr>Var_SocialMedia_Mentions</vt:lpstr>
      <vt:lpstr>Website_Visits</vt:lpstr>
    </vt:vector>
  </TitlesOfParts>
  <Company>PricewaterhouseCoopers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Michele Thiede</cp:lastModifiedBy>
  <dcterms:created xsi:type="dcterms:W3CDTF">2016-06-22T22:01:00Z</dcterms:created>
  <dcterms:modified xsi:type="dcterms:W3CDTF">2016-10-21T16:42:26Z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