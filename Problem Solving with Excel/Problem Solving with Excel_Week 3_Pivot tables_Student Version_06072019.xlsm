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pivotTables/pivotTable35.xml" ContentType="application/vnd.openxmlformats-officedocument.spreadsheetml.pivotTable+xml"/>
  <Override PartName="/xl/pivotTables/pivotTable36.xml" ContentType="application/vnd.openxmlformats-officedocument.spreadsheetml.pivotTable+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vyse008\Desktop\"/>
    </mc:Choice>
  </mc:AlternateContent>
  <bookViews>
    <workbookView xWindow="0" yWindow="0" windowWidth="25600" windowHeight="11640" tabRatio="721"/>
  </bookViews>
  <sheets>
    <sheet name="Introduction" sheetId="1" r:id="rId1"/>
    <sheet name="Table of Contents" sheetId="2" r:id="rId2"/>
    <sheet name="Data Set" sheetId="21" r:id="rId3"/>
    <sheet name="Section 1 - Create Pivot Table" sheetId="23" r:id="rId4"/>
    <sheet name="Section 1 - Create Table (ANS)" sheetId="24" state="hidden" r:id="rId5"/>
    <sheet name="Section 2 - Navigating " sheetId="3" r:id="rId6"/>
    <sheet name="Section 2 - Navigating (ANS)" sheetId="22" state="hidden" r:id="rId7"/>
    <sheet name="Optional Student Exercises" sheetId="25" r:id="rId8"/>
    <sheet name="Optional Student Exercise (ANS)" sheetId="26" state="hidden" r:id="rId9"/>
    <sheet name="Section 4 - Sorting" sheetId="27" r:id="rId10"/>
    <sheet name="Section 4 - Sorting (ANS)" sheetId="28" state="hidden" r:id="rId11"/>
    <sheet name="Section 5- Adv Filter" sheetId="29" r:id="rId12"/>
    <sheet name="Section 5 -Adv Filter (ANS)" sheetId="30" state="hidden" r:id="rId13"/>
    <sheet name="Section 6- Calc Fields" sheetId="31" r:id="rId14"/>
    <sheet name="Section 6 - Calc Field (ANS)" sheetId="32" state="hidden" r:id="rId15"/>
    <sheet name="Section 7 - Slicers" sheetId="33" r:id="rId16"/>
    <sheet name="Section 7 - Slicers (ANS)" sheetId="34" state="hidden" r:id="rId17"/>
  </sheets>
  <externalReferences>
    <externalReference r:id="rId18"/>
    <externalReference r:id="rId19"/>
    <externalReference r:id="rId20"/>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Fill" hidden="1">[1]Ampoule!$AW$3:$CQ$3</definedName>
    <definedName name="_xlnm._FilterDatabase" localSheetId="2" hidden="1">'Data Set'!$C$3:$M$110</definedName>
    <definedName name="_Order1" hidden="1">255</definedName>
    <definedName name="CIQWBGuid" hidden="1">"a2b6e3b8-b817-4a66-9394-c6698475230f"</definedName>
    <definedName name="D1_Country_Sold">'Data Set'!$E$4:$E$110</definedName>
    <definedName name="D1_Date_Sold">'Data Set'!$I$4:$I$110</definedName>
    <definedName name="D1_Distributor_ID">'Data Set'!$C$4:$C$110</definedName>
    <definedName name="D1_Distributor_Name">'Data Set'!$D$4:$D$110</definedName>
    <definedName name="D1_H">'Data Set'!$C$3:$M$3</definedName>
    <definedName name="D1_MonthSold">'Data Set'!$J$4:$J$110</definedName>
    <definedName name="D1_Percent_Quantity" localSheetId="8">'Data Set'!#REF!</definedName>
    <definedName name="D1_Percent_Quantity" localSheetId="3">'Data Set'!#REF!</definedName>
    <definedName name="D1_Percent_Quantity" localSheetId="4">'Data Set'!#REF!</definedName>
    <definedName name="D1_Percent_Quantity" localSheetId="6">'Data Set'!#REF!</definedName>
    <definedName name="D1_Percent_Quantity" localSheetId="10">'Data Set'!#REF!</definedName>
    <definedName name="D1_Percent_Quantity" localSheetId="12">'Data Set'!#REF!</definedName>
    <definedName name="D1_Percent_Quantity" localSheetId="14">'Data Set'!#REF!</definedName>
    <definedName name="D1_Percent_Quantity" localSheetId="16">'Data Set'!#REF!</definedName>
    <definedName name="D1_Percent_Quantity">'Data Set'!#REF!</definedName>
    <definedName name="D1_Percent_Revenue" localSheetId="8">'Data Set'!#REF!</definedName>
    <definedName name="D1_Percent_Revenue" localSheetId="3">'Data Set'!#REF!</definedName>
    <definedName name="D1_Percent_Revenue" localSheetId="4">'Data Set'!#REF!</definedName>
    <definedName name="D1_Percent_Revenue" localSheetId="6">'Data Set'!#REF!</definedName>
    <definedName name="D1_Percent_Revenue" localSheetId="10">'Data Set'!#REF!</definedName>
    <definedName name="D1_Percent_Revenue" localSheetId="12">'Data Set'!#REF!</definedName>
    <definedName name="D1_Percent_Revenue" localSheetId="14">'Data Set'!#REF!</definedName>
    <definedName name="D1_Percent_Revenue" localSheetId="16">'Data Set'!#REF!</definedName>
    <definedName name="D1_Percent_Revenue">'Data Set'!#REF!</definedName>
    <definedName name="D1_Product_Full_Name">'Data Set'!$G$4:$G$110</definedName>
    <definedName name="D1_Product_Type_Code">'Data Set'!$F$4:$F$110</definedName>
    <definedName name="D1_Quantity_Sold">'Data Set'!$K$4:$K$110</definedName>
    <definedName name="D1_Revenue">'Data Set'!$M$4:$M$110</definedName>
    <definedName name="D1_Sales_Channel">'Data Set'!$H$4:$H$110</definedName>
    <definedName name="D1_SALES_DATA">'Data Set'!$C$3:$M$110</definedName>
    <definedName name="D1_Unit_Price">'Data Set'!$L$4:$L$110</definedName>
    <definedName name="D2_Product_Lookup_Table" localSheetId="2">'[2]2b. Product ID'!$C$12:$D$22</definedName>
    <definedName name="D2_Product_Lookup_Table">'[3]2b. Product ID'!$C$12:$D$22</definedName>
    <definedName name="dropdown_effort">[4]Dropdowns!$C$32:$C$33</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_xlnm.Print_Area" localSheetId="2">'Data Set'!$A$1:$M$110</definedName>
    <definedName name="_xlnm.Print_Titles" localSheetId="2">'Data Set'!$A:$F,'Data Set'!$1:$3</definedName>
    <definedName name="R_Country">'[2]11b. Answers'!$E$71:$E$157</definedName>
    <definedName name="R_Product">'[2]11b. Answers'!$C$71:$C$81</definedName>
    <definedName name="SalesQuantity">#REF!</definedName>
    <definedName name="SalesRevenue">#REF!</definedName>
    <definedName name="SAPBEXdnldView" hidden="1">"8BP3QV0RPO6FBFRYQTIF6HCV4"</definedName>
    <definedName name="SAPBEXsysID" hidden="1">"RP5"</definedName>
    <definedName name="Slicer_Country">#N/A</definedName>
    <definedName name="Slicer_Sales_Channel">#N/A</definedName>
    <definedName name="Version">[5]Welcome!$Q$19</definedName>
    <definedName name="wrn.All." hidden="1">{#N/A,#N/A,FALSE,"Summary";#N/A,#N/A,FALSE,"Detail 1";#N/A,#N/A,FALSE,"Detail 2";#N/A,#N/A,FALSE,"Act Spend"}</definedName>
    <definedName name="wrn.MGate_Status." hidden="1">{"M_Gate_Status",#N/A,FALSE,"Report"}</definedName>
  </definedNames>
  <calcPr calcId="150001" concurrentCalc="0"/>
  <pivotCaches>
    <pivotCache cacheId="0"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M5" i="21" l="1"/>
  <c r="M7" i="21"/>
  <c r="M6" i="21"/>
  <c r="M8" i="21"/>
  <c r="M19" i="21"/>
  <c r="M4" i="21"/>
  <c r="M9" i="21"/>
  <c r="M10" i="21"/>
  <c r="M61" i="21"/>
  <c r="M89" i="21"/>
  <c r="M29" i="21"/>
  <c r="A4" i="34"/>
  <c r="A3" i="34"/>
  <c r="A2" i="34"/>
  <c r="A1" i="34"/>
  <c r="A4" i="33"/>
  <c r="A3" i="33"/>
  <c r="A2" i="33"/>
  <c r="A1" i="33"/>
  <c r="A4" i="32"/>
  <c r="A3" i="32"/>
  <c r="A2" i="32"/>
  <c r="A1" i="32"/>
  <c r="A4" i="31"/>
  <c r="A3" i="31"/>
  <c r="A2" i="31"/>
  <c r="A1" i="31"/>
  <c r="A4" i="30"/>
  <c r="A3" i="30"/>
  <c r="A2" i="30"/>
  <c r="A1" i="30"/>
  <c r="A4" i="29"/>
  <c r="A3" i="29"/>
  <c r="A2" i="29"/>
  <c r="A1" i="29"/>
  <c r="A4" i="28"/>
  <c r="A3" i="28"/>
  <c r="A2" i="28"/>
  <c r="A1" i="28"/>
  <c r="A4" i="27"/>
  <c r="A3" i="27"/>
  <c r="A2" i="27"/>
  <c r="A1" i="27"/>
  <c r="A4" i="26"/>
  <c r="A3" i="26"/>
  <c r="A2" i="26"/>
  <c r="A1" i="26"/>
  <c r="A4" i="25"/>
  <c r="A3" i="25"/>
  <c r="A2" i="25"/>
  <c r="A1" i="25"/>
  <c r="A4" i="24"/>
  <c r="A3" i="24"/>
  <c r="A2" i="24"/>
  <c r="A1" i="24"/>
  <c r="A4" i="23"/>
  <c r="A3" i="23"/>
  <c r="A2" i="23"/>
  <c r="A1" i="23"/>
  <c r="A4" i="22"/>
  <c r="A3" i="22"/>
  <c r="A2" i="22"/>
  <c r="A1" i="22"/>
  <c r="M110" i="21"/>
  <c r="J110" i="21"/>
  <c r="M109" i="21"/>
  <c r="J109" i="21"/>
  <c r="M108" i="21"/>
  <c r="J108" i="21"/>
  <c r="M107" i="21"/>
  <c r="J107" i="21"/>
  <c r="M106" i="21"/>
  <c r="J106" i="21"/>
  <c r="M105" i="21"/>
  <c r="J105" i="21"/>
  <c r="M104" i="21"/>
  <c r="J104" i="21"/>
  <c r="M103" i="21"/>
  <c r="J103" i="21"/>
  <c r="M102" i="21"/>
  <c r="J102" i="21"/>
  <c r="M101" i="21"/>
  <c r="J101" i="21"/>
  <c r="M100" i="21"/>
  <c r="J100" i="21"/>
  <c r="M99" i="21"/>
  <c r="J99" i="21"/>
  <c r="M98" i="21"/>
  <c r="J98" i="21"/>
  <c r="M97" i="21"/>
  <c r="J97" i="21"/>
  <c r="M96" i="21"/>
  <c r="J96" i="21"/>
  <c r="M95" i="21"/>
  <c r="J95" i="21"/>
  <c r="M94" i="21"/>
  <c r="J94" i="21"/>
  <c r="M93" i="21"/>
  <c r="J93" i="21"/>
  <c r="M92" i="21"/>
  <c r="J92" i="21"/>
  <c r="M91" i="21"/>
  <c r="J91" i="21"/>
  <c r="M90" i="21"/>
  <c r="J90" i="21"/>
  <c r="J89" i="21"/>
  <c r="M88" i="21"/>
  <c r="J88" i="21"/>
  <c r="M87" i="21"/>
  <c r="J87" i="21"/>
  <c r="M86" i="21"/>
  <c r="J86" i="21"/>
  <c r="M85" i="21"/>
  <c r="J85" i="21"/>
  <c r="M84" i="21"/>
  <c r="J84" i="21"/>
  <c r="M83" i="21"/>
  <c r="J83" i="21"/>
  <c r="M82" i="21"/>
  <c r="J82" i="21"/>
  <c r="M81" i="21"/>
  <c r="J81" i="21"/>
  <c r="M80" i="21"/>
  <c r="J80" i="21"/>
  <c r="M79" i="21"/>
  <c r="J79" i="21"/>
  <c r="M78" i="21"/>
  <c r="J78" i="21"/>
  <c r="M77" i="21"/>
  <c r="J77" i="21"/>
  <c r="M76" i="21"/>
  <c r="J76" i="21"/>
  <c r="M75" i="21"/>
  <c r="J75" i="21"/>
  <c r="M74" i="21"/>
  <c r="J74" i="21"/>
  <c r="M73" i="21"/>
  <c r="J73" i="21"/>
  <c r="M72" i="21"/>
  <c r="J72" i="21"/>
  <c r="M71" i="21"/>
  <c r="J71" i="21"/>
  <c r="M70" i="21"/>
  <c r="J70" i="21"/>
  <c r="M69" i="21"/>
  <c r="J69" i="21"/>
  <c r="M68" i="21"/>
  <c r="J68" i="21"/>
  <c r="M67" i="21"/>
  <c r="J67" i="21"/>
  <c r="M66" i="21"/>
  <c r="J66" i="21"/>
  <c r="M65" i="21"/>
  <c r="J65" i="21"/>
  <c r="M64" i="21"/>
  <c r="J64" i="21"/>
  <c r="M63" i="21"/>
  <c r="J63" i="21"/>
  <c r="M62" i="21"/>
  <c r="J62" i="21"/>
  <c r="J61" i="21"/>
  <c r="M60" i="21"/>
  <c r="J60" i="21"/>
  <c r="M59" i="21"/>
  <c r="J59" i="21"/>
  <c r="M58" i="21"/>
  <c r="J58" i="21"/>
  <c r="M57" i="21"/>
  <c r="J57" i="21"/>
  <c r="M56" i="21"/>
  <c r="J56" i="21"/>
  <c r="M55" i="21"/>
  <c r="J55" i="21"/>
  <c r="M54" i="21"/>
  <c r="J54" i="21"/>
  <c r="M53" i="21"/>
  <c r="J53" i="21"/>
  <c r="M52" i="21"/>
  <c r="J52" i="21"/>
  <c r="M51" i="21"/>
  <c r="J51" i="21"/>
  <c r="M50" i="21"/>
  <c r="J50" i="21"/>
  <c r="M49" i="21"/>
  <c r="J49" i="21"/>
  <c r="M48" i="21"/>
  <c r="J48" i="21"/>
  <c r="M47" i="21"/>
  <c r="J47" i="21"/>
  <c r="M46" i="21"/>
  <c r="J46" i="21"/>
  <c r="M45" i="21"/>
  <c r="J45" i="21"/>
  <c r="M44" i="21"/>
  <c r="J44" i="21"/>
  <c r="M43" i="21"/>
  <c r="J43" i="21"/>
  <c r="M42" i="21"/>
  <c r="J42" i="21"/>
  <c r="M41" i="21"/>
  <c r="J41" i="21"/>
  <c r="M40" i="21"/>
  <c r="J40" i="21"/>
  <c r="M39" i="21"/>
  <c r="J39" i="21"/>
  <c r="M38" i="21"/>
  <c r="J38" i="21"/>
  <c r="M37" i="21"/>
  <c r="J37" i="21"/>
  <c r="M36" i="21"/>
  <c r="J36" i="21"/>
  <c r="M35" i="21"/>
  <c r="J35" i="21"/>
  <c r="M34" i="21"/>
  <c r="J34" i="21"/>
  <c r="M33" i="21"/>
  <c r="J33" i="21"/>
  <c r="M32" i="21"/>
  <c r="J32" i="21"/>
  <c r="M31" i="21"/>
  <c r="J31" i="21"/>
  <c r="M30" i="21"/>
  <c r="J30" i="21"/>
  <c r="J29" i="21"/>
  <c r="M28" i="21"/>
  <c r="J28" i="21"/>
  <c r="M27" i="21"/>
  <c r="J27" i="21"/>
  <c r="M26" i="21"/>
  <c r="J26" i="21"/>
  <c r="M25" i="21"/>
  <c r="J25" i="21"/>
  <c r="M24" i="21"/>
  <c r="J24" i="21"/>
  <c r="M23" i="21"/>
  <c r="J23" i="21"/>
  <c r="M22" i="21"/>
  <c r="J22" i="21"/>
  <c r="M21" i="21"/>
  <c r="J21" i="21"/>
  <c r="M20" i="21"/>
  <c r="J20" i="21"/>
  <c r="J19" i="21"/>
  <c r="M18" i="21"/>
  <c r="J18" i="21"/>
  <c r="M17" i="21"/>
  <c r="J17" i="21"/>
  <c r="M16" i="21"/>
  <c r="J16" i="21"/>
  <c r="M15" i="21"/>
  <c r="J15" i="21"/>
  <c r="M14" i="21"/>
  <c r="J14" i="21"/>
  <c r="M13" i="21"/>
  <c r="J13" i="21"/>
  <c r="M12" i="21"/>
  <c r="J12" i="21"/>
  <c r="M11" i="21"/>
  <c r="J11" i="21"/>
  <c r="J10" i="21"/>
  <c r="J9" i="21"/>
  <c r="J8" i="21"/>
  <c r="J7" i="21"/>
  <c r="J6" i="21"/>
  <c r="J5" i="21"/>
  <c r="J4" i="21"/>
  <c r="A4" i="3"/>
  <c r="A3" i="3"/>
  <c r="A2" i="3"/>
  <c r="A1" i="3"/>
  <c r="A3" i="2"/>
  <c r="A2" i="2"/>
  <c r="A1" i="2"/>
  <c r="G66" i="30"/>
  <c r="G59" i="30"/>
  <c r="G65" i="30"/>
  <c r="G58" i="30"/>
  <c r="G143" i="29"/>
  <c r="G136" i="29"/>
</calcChain>
</file>

<file path=xl/sharedStrings.xml><?xml version="1.0" encoding="utf-8"?>
<sst xmlns="http://schemas.openxmlformats.org/spreadsheetml/2006/main" count="1496" uniqueCount="323">
  <si>
    <t>Summary</t>
  </si>
  <si>
    <t>Section</t>
  </si>
  <si>
    <t>Description</t>
  </si>
  <si>
    <t>Contained in Workbook</t>
  </si>
  <si>
    <t>Name of External Referenced File</t>
  </si>
  <si>
    <t>Revenue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</si>
  <si>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</si>
  <si>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</si>
  <si>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</si>
  <si>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</si>
  <si>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</si>
  <si>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</si>
  <si>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</si>
  <si>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</si>
  <si>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</si>
  <si>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</si>
  <si>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</si>
  <si>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</si>
  <si>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</si>
  <si>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</si>
  <si>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</si>
  <si>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</si>
  <si>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</si>
  <si>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</si>
  <si>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</si>
  <si>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</si>
  <si>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</si>
  <si>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</si>
  <si>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</si>
  <si>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</si>
  <si>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</si>
  <si>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</si>
  <si>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</si>
  <si>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</si>
  <si>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</si>
  <si>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</si>
  <si>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</si>
  <si>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</si>
  <si>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</si>
  <si>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</si>
  <si>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</si>
  <si>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</si>
  <si>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</si>
  <si>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</si>
  <si>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</si>
  <si>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</si>
  <si>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</si>
  <si>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</si>
  <si>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</si>
  <si>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</si>
  <si>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</si>
  <si>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</si>
  <si>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</si>
  <si>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</si>
  <si>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</si>
  <si>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</si>
  <si>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</si>
  <si>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</si>
  <si>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</si>
  <si>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</si>
  <si>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</si>
  <si>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</si>
  <si>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</si>
  <si>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</si>
  <si>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</si>
  <si>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</si>
  <si>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</si>
  <si>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</si>
  <si>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</si>
  <si>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</si>
  <si>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</si>
  <si>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</si>
  <si>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</si>
  <si>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</si>
  <si>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</si>
  <si>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</si>
  <si>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</si>
  <si>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</si>
  <si>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</si>
  <si>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</si>
  <si>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</si>
  <si>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</si>
  <si>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</si>
  <si>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</si>
  <si>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</si>
  <si>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</si>
  <si>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</si>
  <si>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</si>
  <si>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</si>
  <si>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</si>
  <si>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</si>
  <si>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</si>
  <si>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</si>
  <si>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</si>
  <si>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</si>
  <si>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</si>
  <si>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</si>
  <si>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</si>
  <si>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</si>
  <si>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</si>
  <si>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</si>
  <si>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</si>
  <si>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</si>
  <si>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</si>
  <si>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</si>
  <si>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</si>
  <si>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</si>
  <si>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</si>
  <si>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</si>
  <si>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</si>
  <si>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</si>
  <si>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</si>
  <si>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</si>
  <si>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</si>
  <si>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</si>
  <si>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</si>
  <si>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</si>
  <si>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</si>
  <si>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</si>
  <si>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</si>
  <si>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</si>
  <si>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</si>
  <si>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</si>
  <si>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</si>
  <si>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</si>
  <si>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</si>
  <si>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</si>
  <si>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</si>
  <si>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</si>
  <si>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</si>
  <si>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</si>
  <si>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</si>
  <si>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</si>
  <si>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</si>
  <si>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</si>
  <si>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</si>
  <si>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</si>
  <si>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</si>
  <si>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</si>
  <si>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</si>
  <si>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</si>
  <si>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</si>
  <si>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</si>
  <si>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</si>
  <si>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</si>
  <si>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</si>
  <si>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</si>
  <si>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</si>
  <si>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</si>
  <si>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</si>
  <si>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</si>
  <si>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</si>
  <si>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</si>
  <si>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</si>
  <si>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</si>
  <si>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</si>
  <si>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</si>
  <si>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</si>
  <si>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</si>
  <si>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</si>
  <si>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</si>
  <si>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</si>
  <si>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</si>
  <si>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</si>
  <si>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</si>
  <si>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</si>
  <si>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</si>
  <si>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</si>
  <si>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</si>
  <si>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</si>
  <si>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</si>
  <si>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</si>
  <si>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</si>
  <si>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</si>
  <si>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</si>
  <si>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</si>
  <si>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</si>
  <si>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</si>
  <si>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</si>
  <si>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</si>
  <si>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</si>
  <si>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</si>
  <si>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</si>
  <si>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</si>
  <si>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</si>
  <si>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</si>
  <si>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</si>
  <si>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</si>
  <si>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</si>
  <si>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</si>
  <si>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</si>
  <si>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</si>
  <si>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</si>
  <si>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</si>
  <si>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</si>
  <si>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</si>
  <si>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</si>
  <si>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</si>
  <si>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</si>
  <si>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</si>
  <si>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</si>
  <si>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</si>
  <si>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</si>
  <si>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</si>
  <si>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</si>
  <si>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</si>
  <si>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</si>
  <si>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</si>
  <si>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</si>
  <si>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</si>
  <si>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</si>
  <si>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</si>
  <si>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</si>
  <si>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</si>
  <si>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</si>
  <si>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</si>
  <si>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</si>
  <si>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</si>
  <si>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</si>
  <si>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</si>
  <si>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</si>
  <si>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</si>
  <si>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</si>
  <si>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</si>
  <si>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Y</t>
  </si>
  <si>
    <t>Excel 101</t>
  </si>
  <si>
    <t>Create a pivot table</t>
  </si>
  <si>
    <t>Navigating a pivot table</t>
  </si>
  <si>
    <t>Sorting a pivot table</t>
  </si>
  <si>
    <t>Advanced filtering</t>
  </si>
  <si>
    <t>Calculated Fields</t>
  </si>
  <si>
    <t>Slicers</t>
  </si>
  <si>
    <t>Grand Total</t>
  </si>
  <si>
    <t>Row Labels</t>
  </si>
  <si>
    <t>Sum of Revenue</t>
  </si>
  <si>
    <t>Detafast Stain Remover - 100ml</t>
  </si>
  <si>
    <t>Detafast Stain Remover - 200ml</t>
  </si>
  <si>
    <t>Detafast Stain Remover - 800ml</t>
  </si>
  <si>
    <t>Pure Soft Detergent - 100ml</t>
  </si>
  <si>
    <t>Pure Soft Detergent - 200ml</t>
  </si>
  <si>
    <t>Pure Soft Detergent - 250ml</t>
  </si>
  <si>
    <t>Pure Soft Detergent - 500ml</t>
  </si>
  <si>
    <t>Super Soft - 1 Litre</t>
  </si>
  <si>
    <t>Super Soft - 250ml</t>
  </si>
  <si>
    <t>Super Soft - 500ml</t>
  </si>
  <si>
    <t>Super Soft Bulk - 2 Litres</t>
  </si>
  <si>
    <t>Sum of Quantity</t>
  </si>
  <si>
    <t>Formatting a pivot table</t>
  </si>
  <si>
    <t>r</t>
  </si>
  <si>
    <t>Distributor</t>
  </si>
  <si>
    <t>Products</t>
  </si>
  <si>
    <t>Row Label</t>
  </si>
  <si>
    <t>Sum of Tax</t>
  </si>
  <si>
    <t>Sum of Cost</t>
  </si>
  <si>
    <t>Column Labels</t>
  </si>
  <si>
    <t>Total Sum of Revenue</t>
  </si>
  <si>
    <t>Total Sum of Tax</t>
  </si>
  <si>
    <t>Count of Distributor Name</t>
  </si>
  <si>
    <t>(Multiple Items)</t>
  </si>
  <si>
    <t>Also, remove sub totals and create tabular data set with repeating rows</t>
  </si>
  <si>
    <t>Problem 1a - Instructor Lead</t>
  </si>
  <si>
    <t>Problem 1b - Student Lead</t>
  </si>
  <si>
    <t>Problem 2b - Student Lead</t>
  </si>
  <si>
    <t>Problem 2a - Instructor Lead</t>
  </si>
  <si>
    <t>1a. Create a Pivot table from the Sample Data</t>
  </si>
  <si>
    <t>1b. Create a Pivot table from the Sample Data</t>
  </si>
  <si>
    <t>2a. What country had the most revenue?</t>
  </si>
  <si>
    <t xml:space="preserve">Problem 2c - Instructor Lead </t>
  </si>
  <si>
    <t>2c. Who is the top distributor in Panama by revenue?</t>
  </si>
  <si>
    <t>Problem 2d - Student Lead</t>
  </si>
  <si>
    <t>2d. Who is the top distributor of "Detafast Stain Remover - 200ml" by units sold?</t>
  </si>
  <si>
    <t>Problem 2e - Instructor Lead</t>
  </si>
  <si>
    <t>2e. What are the 4 products that sold the most units?</t>
  </si>
  <si>
    <t>Problem 2f - Student Lead</t>
  </si>
  <si>
    <t>2f. Which country has the most online sales by revenue?</t>
  </si>
  <si>
    <t>Problem 2g - Student Lead</t>
  </si>
  <si>
    <t>Problem 2h - Student Lead</t>
  </si>
  <si>
    <t>2g. How many distributors sold Super Soft Bulk - 2 Litres through each sales channel, and what is their revenue?</t>
  </si>
  <si>
    <t>2h. How many distributors sold more than 100 units of Super Soft Bulk - 2 Litres product through each sales channel, and what is their revenue?</t>
  </si>
  <si>
    <t>2b. What are the top 5 countries by revenue?</t>
  </si>
  <si>
    <t>3a. Remove the Grand Total on the Pivot Table and rename the Row Labels to Country</t>
  </si>
  <si>
    <t>3b. Rename the Row Label to "Distributor" and add banded rows</t>
  </si>
  <si>
    <t>Row LaBel</t>
  </si>
  <si>
    <t>3c. Remove Grand Total, Rename row labels to "Products" and Use Pivot Style Dark 7</t>
  </si>
  <si>
    <t>Problem 3d - Student Lead</t>
  </si>
  <si>
    <t>3d. Remove Grand Total, Rename Row Label to Country and add banded rows</t>
  </si>
  <si>
    <t>Problem 4a - Instructor Lead</t>
  </si>
  <si>
    <t xml:space="preserve">Problem 4b - Instructor Lead </t>
  </si>
  <si>
    <t xml:space="preserve">4b. Sort products and sales channel in descending order by sum of quantity </t>
  </si>
  <si>
    <t>Problem 4c - Student Lead</t>
  </si>
  <si>
    <t>4c. Sort in countries and products in descending order by sum of revenue</t>
  </si>
  <si>
    <t>4a. Sort the distribtors in alphabetical order by first name</t>
  </si>
  <si>
    <t>Problem 4b - Instructor Lead</t>
  </si>
  <si>
    <t>4b. Sort products and sales channel in descending order by sum of quantity</t>
  </si>
  <si>
    <t>4c. Sort in countries and product in descending order by sum of revenue</t>
  </si>
  <si>
    <t>Problem 5a - Instructor Lead</t>
  </si>
  <si>
    <t>5a. Display the top 4 products by quantity sold</t>
  </si>
  <si>
    <t xml:space="preserve">Problem 5b - Instructor Lead </t>
  </si>
  <si>
    <t>5b. Which products contain in their description "200ml" and what are their quantities sold?</t>
  </si>
  <si>
    <t>Problem 5c - Student Lead</t>
  </si>
  <si>
    <t>5c. Filter for countries revenue between $2,000 and $3,000</t>
  </si>
  <si>
    <t>Problem 5d - Instructor Lead</t>
  </si>
  <si>
    <t>5d. Complete the following chart based on the Pivot Table in Problem 3 by editing the pivot table reference formula</t>
  </si>
  <si>
    <t>Problem 5e - Student Lead</t>
  </si>
  <si>
    <t>5e. Complete the following chart based on the Pivot Table in Problem 3 by editing the pivot table reference formula</t>
  </si>
  <si>
    <t>Problem 5b - Instructor Lead</t>
  </si>
  <si>
    <t>Problem 6a - Instructor Lead</t>
  </si>
  <si>
    <t>6a. Insert Calcuated Field for Tax which is 7.5% of Revenue and sales channels as columns</t>
  </si>
  <si>
    <t>Problem 6b - Student Lead</t>
  </si>
  <si>
    <t>6b. Insert Calcuated Field for Cost which is 50% of Revenue</t>
  </si>
  <si>
    <t>6a. Insert Calcuated Field for Tax which is 7.5% of Revenue</t>
  </si>
  <si>
    <t>Problem 7a - Instructor Lead</t>
  </si>
  <si>
    <t>7a. Which products were sold in France and Brazil?</t>
  </si>
  <si>
    <t>Problem 7b - Student Lead</t>
  </si>
  <si>
    <t>7b. Provide a list of countries by Revenue of the combined Online and Retail Sales</t>
  </si>
  <si>
    <t>Problem Solving with Excel</t>
  </si>
  <si>
    <t>Week 3</t>
  </si>
  <si>
    <t>Pivot Tables</t>
  </si>
  <si>
    <t>Problem 3a - Student Lead</t>
  </si>
  <si>
    <t xml:space="preserve">Problem 3b - Student Lead </t>
  </si>
  <si>
    <t>Problem 3c - Student Lead</t>
  </si>
  <si>
    <t>This section is optional and included in the event that the learner has the desire to practice formatting pivot tables.</t>
  </si>
  <si>
    <t xml:space="preserve">Problem 3b- Student Lead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</si>
</sst>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s>
  <fonts count="40" x14ac:knownFonts="1">
    <font>
      <sz val="9"/>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10"/>
      <color theme="3"/>
      <name val="Arial"/>
      <family val="2"/>
    </font>
    <font>
      <sz val="10"/>
      <color theme="5"/>
      <name val="Arial"/>
      <family val="2"/>
    </font>
    <font>
      <sz val="10"/>
      <color theme="1"/>
      <name val="Arial"/>
      <family val="2"/>
    </font>
    <font>
      <sz val="10"/>
      <color theme="0" tint="-0.499984740745262"/>
      <name val="Arial"/>
      <family val="2"/>
    </font>
    <font>
      <i/>
      <sz val="10"/>
      <color theme="1"/>
      <name val="Arial"/>
      <family val="2"/>
    </font>
    <font>
      <b/>
      <sz val="10"/>
      <color theme="1"/>
      <name val="Arial"/>
      <family val="2"/>
    </font>
    <font>
      <sz val="10"/>
      <color rgb="FFE0301E"/>
      <name val="Arial"/>
      <family val="2"/>
    </font>
    <font>
      <i/>
      <sz val="10"/>
      <color rgb="FFE0301E"/>
      <name val="Arial"/>
      <family val="2"/>
    </font>
    <font>
      <u/>
      <sz val="10"/>
      <color theme="1"/>
      <name val="Arial"/>
      <family val="2"/>
    </font>
    <font>
      <b/>
      <sz val="10"/>
      <name val="Arial"/>
      <family val="2"/>
    </font>
    <font>
      <b/>
      <sz val="12"/>
      <color rgb="FF000000"/>
      <name val="Calibri"/>
      <family val="2"/>
    </font>
    <font>
      <u/>
      <sz val="9"/>
      <color theme="10"/>
      <name val="Calibri"/>
      <family val="2"/>
      <scheme val="minor"/>
    </font>
    <font>
      <u/>
      <sz val="9"/>
      <color theme="11"/>
      <name val="Calibri"/>
      <family val="2"/>
      <scheme val="minor"/>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style="thin">
        <color theme="3"/>
      </top>
      <bottom style="thin">
        <color theme="3"/>
      </bottom>
      <diagonal/>
    </border>
    <border>
      <left/>
      <right/>
      <top/>
      <bottom style="thin">
        <color theme="3"/>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auto="1"/>
      </left>
      <right style="thin">
        <color auto="1"/>
      </right>
      <top style="thin">
        <color auto="1"/>
      </top>
      <bottom style="thin">
        <color auto="1"/>
      </bottom>
      <diagonal/>
    </border>
  </borders>
  <cellStyleXfs count="39">
    <xf numFmtId="164" fontId="0" fillId="0" borderId="0"/>
    <xf numFmtId="9" fontId="2" fillId="0" borderId="0" applyFont="0" applyFill="0" applyBorder="0" applyAlignment="0" applyProtection="0"/>
    <xf numFmtId="49" fontId="20" fillId="0" borderId="0" applyAlignment="0" applyProtection="0"/>
    <xf numFmtId="49" fontId="10" fillId="0" borderId="6" applyFill="0" applyProtection="0">
      <alignment horizontal="right" wrapText="1"/>
    </xf>
    <xf numFmtId="49" fontId="11" fillId="0" borderId="0" applyProtection="0">
      <alignment wrapText="1"/>
    </xf>
    <xf numFmtId="49" fontId="12" fillId="0" borderId="7" applyFill="0" applyProtection="0">
      <alignment horizontal="right" wrapText="1"/>
    </xf>
    <xf numFmtId="49" fontId="12" fillId="0" borderId="0" applyProtection="0">
      <alignment wrapText="1"/>
    </xf>
    <xf numFmtId="0" fontId="9" fillId="2" borderId="0" applyNumberFormat="0" applyBorder="0" applyAlignment="0" applyProtection="0"/>
    <xf numFmtId="0" fontId="4" fillId="3" borderId="0" applyNumberFormat="0" applyBorder="0" applyAlignment="0" applyProtection="0"/>
    <xf numFmtId="0" fontId="15" fillId="4" borderId="0" applyNumberFormat="0" applyBorder="0" applyAlignment="0" applyProtection="0"/>
    <xf numFmtId="0" fontId="13" fillId="5" borderId="1" applyNumberFormat="0" applyAlignment="0" applyProtection="0"/>
    <xf numFmtId="0" fontId="16" fillId="6" borderId="2" applyNumberFormat="0" applyAlignment="0" applyProtection="0"/>
    <xf numFmtId="0" fontId="5" fillId="6" borderId="1" applyNumberFormat="0" applyAlignment="0" applyProtection="0"/>
    <xf numFmtId="0" fontId="14" fillId="0" borderId="3" applyNumberFormat="0" applyFill="0" applyAlignment="0" applyProtection="0"/>
    <xf numFmtId="0" fontId="6" fillId="7" borderId="4" applyNumberFormat="0" applyAlignment="0" applyProtection="0"/>
    <xf numFmtId="0" fontId="7" fillId="8" borderId="5" applyNumberFormat="0" applyAlignment="0" applyProtection="0"/>
    <xf numFmtId="0" fontId="8" fillId="0" borderId="0" applyNumberFormat="0" applyFill="0" applyBorder="0" applyAlignment="0" applyProtection="0"/>
    <xf numFmtId="0" fontId="21" fillId="0" borderId="10" applyNumberFormat="0" applyFill="0" applyAlignment="0" applyProtection="0"/>
    <xf numFmtId="164" fontId="17"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8" fillId="0" borderId="0" applyNumberFormat="0" applyAlignment="0" applyProtection="0"/>
    <xf numFmtId="0" fontId="17" fillId="0" borderId="6" applyFill="0" applyProtection="0">
      <alignment horizontal="right" wrapText="1"/>
    </xf>
    <xf numFmtId="0" fontId="17" fillId="0" borderId="0" applyFill="0" applyProtection="0">
      <alignment wrapText="1"/>
    </xf>
    <xf numFmtId="0" fontId="17" fillId="0" borderId="8" applyFill="0" applyProtection="0">
      <alignment wrapText="1"/>
    </xf>
    <xf numFmtId="164" fontId="19" fillId="0" borderId="9" applyNumberFormat="0" applyFill="0" applyAlignment="0" applyProtection="0"/>
    <xf numFmtId="0" fontId="3" fillId="0" borderId="0" applyAlignment="0" applyProtection="0"/>
    <xf numFmtId="0" fontId="19" fillId="0" borderId="10" applyNumberFormat="0" applyFill="0" applyAlignment="0" applyProtection="0"/>
    <xf numFmtId="0" fontId="23" fillId="0" borderId="0"/>
    <xf numFmtId="164" fontId="7" fillId="0" borderId="0"/>
    <xf numFmtId="0" fontId="29"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7" fillId="0" borderId="0" applyFont="0" applyFill="0" applyBorder="0" applyAlignment="0" applyProtection="0"/>
    <xf numFmtId="164" fontId="38" fillId="0" borderId="0" applyNumberFormat="0" applyFill="0" applyBorder="0" applyAlignment="0" applyProtection="0"/>
    <xf numFmtId="164" fontId="39" fillId="0" borderId="0" applyNumberFormat="0" applyFill="0" applyBorder="0" applyAlignment="0" applyProtection="0"/>
  </cellStyleXfs>
  <cellXfs count="75">
    <xf numFmtId="164" fontId="0" fillId="0" borderId="0" xfId="0"/>
    <xf numFmtId="164" fontId="22" fillId="0" borderId="0" xfId="0" applyFont="1"/>
    <xf numFmtId="0" fontId="23" fillId="0" borderId="0" xfId="30"/>
    <xf numFmtId="0" fontId="24" fillId="0" borderId="0" xfId="30" applyFont="1"/>
    <xf numFmtId="0" fontId="17" fillId="0" borderId="6" xfId="24" applyAlignment="1">
      <alignment horizontal="left" wrapText="1"/>
    </xf>
    <xf numFmtId="0" fontId="25" fillId="0" borderId="0" xfId="28" applyFont="1"/>
    <xf numFmtId="0" fontId="23" fillId="0" borderId="0" xfId="30" applyBorder="1"/>
    <xf numFmtId="0" fontId="29" fillId="0" borderId="0" xfId="33" applyFont="1" applyFill="1" applyBorder="1"/>
    <xf numFmtId="0" fontId="29" fillId="12" borderId="0" xfId="33" applyNumberFormat="1" applyFont="1" applyFill="1" applyBorder="1"/>
    <xf numFmtId="0" fontId="29" fillId="0" borderId="0" xfId="33" applyFont="1"/>
    <xf numFmtId="0" fontId="30" fillId="0" borderId="0" xfId="33" applyNumberFormat="1" applyFont="1" applyFill="1" applyBorder="1"/>
    <xf numFmtId="0" fontId="33" fillId="0" borderId="0" xfId="33" applyNumberFormat="1" applyFont="1" applyFill="1" applyBorder="1"/>
    <xf numFmtId="0" fontId="33" fillId="0" borderId="0" xfId="33" applyFont="1" applyFill="1" applyBorder="1"/>
    <xf numFmtId="0" fontId="34" fillId="12" borderId="12" xfId="33" applyNumberFormat="1" applyFont="1" applyFill="1" applyBorder="1"/>
    <xf numFmtId="0" fontId="33" fillId="0" borderId="12" xfId="33" applyFont="1" applyFill="1" applyBorder="1"/>
    <xf numFmtId="0" fontId="33" fillId="12" borderId="12" xfId="33" applyNumberFormat="1" applyFont="1" applyFill="1" applyBorder="1"/>
    <xf numFmtId="0" fontId="33" fillId="12" borderId="0" xfId="33" applyNumberFormat="1" applyFont="1" applyFill="1" applyBorder="1"/>
    <xf numFmtId="0" fontId="34" fillId="12" borderId="0" xfId="33" applyNumberFormat="1" applyFont="1" applyFill="1" applyBorder="1" applyAlignment="1">
      <alignment horizontal="center"/>
    </xf>
    <xf numFmtId="3" fontId="33" fillId="12" borderId="0" xfId="33" applyNumberFormat="1" applyFont="1" applyFill="1" applyBorder="1"/>
    <xf numFmtId="0" fontId="31" fillId="12" borderId="11" xfId="33" applyNumberFormat="1" applyFont="1" applyFill="1" applyBorder="1"/>
    <xf numFmtId="0" fontId="29" fillId="0" borderId="11" xfId="33" applyFont="1" applyFill="1" applyBorder="1"/>
    <xf numFmtId="0" fontId="29" fillId="12" borderId="11" xfId="33" applyNumberFormat="1" applyFont="1" applyFill="1" applyBorder="1"/>
    <xf numFmtId="3" fontId="29" fillId="12" borderId="0" xfId="33" applyNumberFormat="1" applyFont="1" applyFill="1" applyBorder="1"/>
    <xf numFmtId="0" fontId="31" fillId="12" borderId="0" xfId="33" applyNumberFormat="1" applyFont="1" applyFill="1" applyBorder="1" applyAlignment="1">
      <alignment horizontal="center"/>
    </xf>
    <xf numFmtId="0" fontId="35" fillId="12" borderId="0" xfId="33" applyNumberFormat="1" applyFont="1" applyFill="1" applyBorder="1"/>
    <xf numFmtId="0" fontId="26" fillId="11" borderId="11" xfId="33" applyNumberFormat="1" applyFont="1" applyFill="1" applyBorder="1" applyAlignment="1">
      <alignment horizontal="left" wrapText="1"/>
    </xf>
    <xf numFmtId="0" fontId="26" fillId="11" borderId="0" xfId="33" applyNumberFormat="1" applyFont="1" applyFill="1" applyBorder="1" applyAlignment="1">
      <alignment horizontal="left" wrapText="1"/>
    </xf>
    <xf numFmtId="0" fontId="26" fillId="11" borderId="0" xfId="33" applyNumberFormat="1" applyFont="1" applyFill="1" applyBorder="1" applyAlignment="1">
      <alignment wrapText="1"/>
    </xf>
    <xf numFmtId="3" fontId="26" fillId="11" borderId="0" xfId="33" applyNumberFormat="1" applyFont="1" applyFill="1" applyBorder="1" applyAlignment="1">
      <alignment wrapText="1"/>
    </xf>
    <xf numFmtId="0" fontId="26" fillId="11" borderId="0" xfId="34" applyNumberFormat="1" applyFont="1" applyFill="1" applyBorder="1" applyAlignment="1">
      <alignment wrapText="1"/>
    </xf>
    <xf numFmtId="0" fontId="29" fillId="12" borderId="0" xfId="33" applyNumberFormat="1" applyFont="1" applyFill="1"/>
    <xf numFmtId="0" fontId="27" fillId="0" borderId="11" xfId="33" applyNumberFormat="1" applyFont="1" applyBorder="1" applyAlignment="1">
      <alignment horizontal="left"/>
    </xf>
    <xf numFmtId="0" fontId="28" fillId="0" borderId="11" xfId="33" applyNumberFormat="1" applyFont="1" applyBorder="1" applyAlignment="1">
      <alignment horizontal="left"/>
    </xf>
    <xf numFmtId="14" fontId="27" fillId="0" borderId="11" xfId="33" applyNumberFormat="1" applyFont="1" applyBorder="1" applyAlignment="1">
      <alignment horizontal="left"/>
    </xf>
    <xf numFmtId="1" fontId="27" fillId="0" borderId="11" xfId="33" applyNumberFormat="1" applyFont="1" applyBorder="1" applyAlignment="1">
      <alignment horizontal="center"/>
    </xf>
    <xf numFmtId="3" fontId="27" fillId="0" borderId="11" xfId="33" applyNumberFormat="1" applyFont="1" applyBorder="1"/>
    <xf numFmtId="8" fontId="27" fillId="0" borderId="11" xfId="34" applyNumberFormat="1" applyFont="1" applyBorder="1" applyAlignment="1">
      <alignment horizontal="right"/>
    </xf>
    <xf numFmtId="166" fontId="23" fillId="0" borderId="11" xfId="33" applyNumberFormat="1" applyFont="1" applyFill="1" applyBorder="1" applyAlignment="1">
      <alignment horizontal="right"/>
    </xf>
    <xf numFmtId="0" fontId="27" fillId="0" borderId="11" xfId="33" applyNumberFormat="1" applyFont="1" applyFill="1" applyBorder="1" applyAlignment="1">
      <alignment horizontal="left"/>
    </xf>
    <xf numFmtId="0" fontId="28" fillId="0" borderId="11" xfId="33" applyNumberFormat="1" applyFont="1" applyFill="1" applyBorder="1" applyAlignment="1">
      <alignment horizontal="left"/>
    </xf>
    <xf numFmtId="0" fontId="27" fillId="0" borderId="12" xfId="33" applyNumberFormat="1" applyFont="1" applyBorder="1" applyAlignment="1">
      <alignment horizontal="left"/>
    </xf>
    <xf numFmtId="0" fontId="27" fillId="0" borderId="12" xfId="33" applyNumberFormat="1" applyFont="1" applyFill="1" applyBorder="1" applyAlignment="1">
      <alignment horizontal="left"/>
    </xf>
    <xf numFmtId="0" fontId="28" fillId="0" borderId="12" xfId="33" applyNumberFormat="1" applyFont="1" applyFill="1" applyBorder="1" applyAlignment="1">
      <alignment horizontal="left"/>
    </xf>
    <xf numFmtId="0" fontId="27" fillId="12" borderId="11" xfId="33" applyNumberFormat="1" applyFont="1" applyFill="1" applyBorder="1" applyAlignment="1">
      <alignment horizontal="left"/>
    </xf>
    <xf numFmtId="0" fontId="28" fillId="12" borderId="11" xfId="33" applyNumberFormat="1" applyFont="1" applyFill="1" applyBorder="1" applyAlignment="1">
      <alignment horizontal="left"/>
    </xf>
    <xf numFmtId="0" fontId="29" fillId="0" borderId="0" xfId="33" applyNumberFormat="1" applyFont="1"/>
    <xf numFmtId="164" fontId="32" fillId="0" borderId="0" xfId="0" applyFont="1"/>
    <xf numFmtId="164" fontId="0" fillId="0" borderId="13" xfId="0" applyBorder="1"/>
    <xf numFmtId="164" fontId="0" fillId="0" borderId="14" xfId="0" applyBorder="1"/>
    <xf numFmtId="164" fontId="0" fillId="0" borderId="15" xfId="0" applyBorder="1"/>
    <xf numFmtId="164" fontId="0" fillId="0" borderId="0" xfId="0" pivotButton="1"/>
    <xf numFmtId="164" fontId="0" fillId="0" borderId="0" xfId="0" applyAlignment="1">
      <alignment horizontal="left"/>
    </xf>
    <xf numFmtId="8" fontId="0" fillId="0" borderId="0" xfId="0" applyNumberFormat="1"/>
    <xf numFmtId="6" fontId="0" fillId="0" borderId="0" xfId="0" applyNumberFormat="1"/>
    <xf numFmtId="167" fontId="0" fillId="0" borderId="0" xfId="0" applyNumberFormat="1"/>
    <xf numFmtId="44" fontId="0" fillId="0" borderId="0" xfId="0" applyNumberFormat="1"/>
    <xf numFmtId="166" fontId="0" fillId="0" borderId="0" xfId="0" applyNumberFormat="1"/>
    <xf numFmtId="6" fontId="0" fillId="0" borderId="16" xfId="0" applyNumberFormat="1" applyBorder="1"/>
    <xf numFmtId="6" fontId="0" fillId="0" borderId="17" xfId="0" applyNumberFormat="1" applyBorder="1"/>
    <xf numFmtId="6" fontId="0" fillId="0" borderId="18" xfId="0" applyNumberFormat="1" applyBorder="1"/>
    <xf numFmtId="6" fontId="0" fillId="0" borderId="19" xfId="0" applyNumberFormat="1" applyBorder="1"/>
    <xf numFmtId="6" fontId="0" fillId="0" borderId="20" xfId="0" applyNumberFormat="1" applyBorder="1"/>
    <xf numFmtId="6" fontId="0" fillId="0" borderId="21" xfId="0" applyNumberFormat="1" applyBorder="1"/>
    <xf numFmtId="0" fontId="0" fillId="0" borderId="0" xfId="0" applyNumberFormat="1"/>
    <xf numFmtId="164" fontId="32" fillId="12" borderId="0" xfId="0" applyFont="1" applyFill="1"/>
    <xf numFmtId="164" fontId="29" fillId="12" borderId="0" xfId="0" applyFont="1" applyFill="1"/>
    <xf numFmtId="164" fontId="32" fillId="12" borderId="0" xfId="0" applyFont="1" applyFill="1" applyAlignment="1">
      <alignment vertical="center"/>
    </xf>
    <xf numFmtId="164" fontId="29" fillId="12" borderId="0" xfId="0" applyFont="1" applyFill="1" applyAlignment="1">
      <alignment vertical="center"/>
    </xf>
    <xf numFmtId="164" fontId="31" fillId="12" borderId="0" xfId="0" applyFont="1" applyFill="1"/>
    <xf numFmtId="164" fontId="29" fillId="0" borderId="0" xfId="0" applyFont="1"/>
    <xf numFmtId="0" fontId="23" fillId="0" borderId="0" xfId="30" applyFill="1"/>
    <xf numFmtId="0" fontId="36" fillId="12" borderId="0" xfId="30" applyFont="1" applyFill="1" applyBorder="1" applyAlignment="1">
      <alignment horizontal="left" vertical="top"/>
    </xf>
    <xf numFmtId="164" fontId="0" fillId="0" borderId="0" xfId="0" applyAlignment="1">
      <alignment horizontal="left" indent="1"/>
    </xf>
    <xf numFmtId="167" fontId="0" fillId="0" borderId="0" xfId="36" applyNumberFormat="1" applyFont="1"/>
    <xf numFmtId="164" fontId="0" fillId="0" borderId="22" xfId="0" applyBorder="1"/>
  </cellXfs>
  <cellStyles count="39">
    <cellStyle name="Bad" xfId="8" builtinId="27" customBuiltin="1"/>
    <cellStyle name="Calculation" xfId="12" builtinId="22" customBuiltin="1"/>
    <cellStyle name="Check Cell" xfId="14" builtinId="23" customBuiltin="1"/>
    <cellStyle name="Comma" xfId="36" builtinId="3"/>
    <cellStyle name="Currency 2" xfId="34"/>
    <cellStyle name="Explanatory Text" xfId="16" builtinId="53" customBuiltin="1"/>
    <cellStyle name="Followed Hyperlink" xfId="38" builtinId="9" hidde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7" builtinId="8" hidden="1"/>
    <cellStyle name="Input" xfId="10" builtinId="20" customBuiltin="1"/>
    <cellStyle name="Linked Cell" xfId="13" builtinId="24" customBuiltin="1"/>
    <cellStyle name="Neutral" xfId="9" builtinId="28" customBuiltin="1"/>
    <cellStyle name="Normal" xfId="0" builtinId="0" customBuiltin="1"/>
    <cellStyle name="Normal 10" xfId="32"/>
    <cellStyle name="Normal 2" xfId="30"/>
    <cellStyle name="Normal 3" xfId="31"/>
    <cellStyle name="Normal 4" xfId="33"/>
    <cellStyle name="Note" xfId="15" builtinId="10" customBuiltin="1"/>
    <cellStyle name="Output" xfId="11" builtinId="21" customBuiltin="1"/>
    <cellStyle name="Percent" xfId="1" builtinId="5" customBuiltin="1"/>
    <cellStyle name="Percent 2" xfId="35"/>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41">
    <dxf>
      <numFmt numFmtId="168" formatCode="&quot;$&quot;#,##0.00;[Red]\-&quot;$&quot;#,##0.00"/>
    </dxf>
    <dxf>
      <numFmt numFmtId="168" formatCode="&quot;$&quot;#,##0.00;[Red]\-&quot;$&quot;#,##0.00"/>
    </dxf>
    <dxf>
      <numFmt numFmtId="168" formatCode="&quot;$&quot;#,##0.00;[Red]\-&quot;$&quot;#,##0.00"/>
    </dxf>
    <dxf>
      <numFmt numFmtId="167" formatCode="_(* #,##0_);_(* \(#,##0\);_(* &quot;-&quot;??_);_(@_)"/>
    </dxf>
    <dxf>
      <numFmt numFmtId="168" formatCode="&quot;$&quot;#,##0.00;[Red]\-&quot;$&quot;#,##0.00"/>
    </dxf>
    <dxf>
      <numFmt numFmtId="168" formatCode="&quot;$&quot;#,##0.00;[Red]\-&quot;$&quot;#,##0.00"/>
    </dxf>
    <dxf>
      <numFmt numFmtId="168" formatCode="&quot;$&quot;#,##0.00;[Red]\-&quot;$&quot;#,##0.00"/>
    </dxf>
    <dxf>
      <numFmt numFmtId="167" formatCode="_(* #,##0_);_(* \(#,##0\);_(* &quot;-&quot;??_);_(@_)"/>
    </dxf>
    <dxf>
      <numFmt numFmtId="167" formatCode="_(* #,##0_);_(* \(#,##0\);_(* &quot;-&quot;??_);_(@_)"/>
    </dxf>
    <dxf>
      <numFmt numFmtId="168" formatCode="&quot;$&quot;#,##0.00;[Red]\-&quot;$&quot;#,##0.00"/>
    </dxf>
    <dxf>
      <numFmt numFmtId="167" formatCode="_(* #,##0_);_(* \(#,##0\);_(* &quot;-&quot;??_);_(@_)"/>
    </dxf>
    <dxf>
      <numFmt numFmtId="168" formatCode="&quot;$&quot;#,##0.00;[Red]\-&quot;$&quot;#,##0.00"/>
    </dxf>
    <dxf>
      <numFmt numFmtId="167" formatCode="_(* #,##0_);_(* \(#,##0\);_(* &quot;-&quot;??_);_(@_)"/>
    </dxf>
    <dxf>
      <numFmt numFmtId="167" formatCode="_(* #,##0_);_(* \(#,##0\);_(* &quot;-&quot;??_);_(@_)"/>
    </dxf>
    <dxf>
      <numFmt numFmtId="167" formatCode="_(* #,##0_);_(* \(#,##0\);_(* &quot;-&quot;??_);_(@_)"/>
    </dxf>
    <dxf>
      <numFmt numFmtId="169" formatCode="&quot;$&quot;#,##0;[Red]\-&quot;$&quot;#,##0"/>
    </dxf>
    <dxf>
      <numFmt numFmtId="170" formatCode="_-&quot;$&quot;* #,##0.00_-;\-&quot;$&quot;* #,##0.00_-;_-&quot;$&quot;* &quot;-&quot;??_-;_-@_-"/>
    </dxf>
    <dxf>
      <numFmt numFmtId="170" formatCode="_-&quot;$&quot;* #,##0.00_-;\-&quot;$&quot;* #,##0.00_-;_-&quot;$&quot;* &quot;-&quot;??_-;_-@_-"/>
    </dxf>
    <dxf>
      <numFmt numFmtId="0" formatCode="General"/>
    </dxf>
    <dxf>
      <numFmt numFmtId="167" formatCode="_(* #,##0_);_(* \(#,##0\);_(* &quot;-&quot;??_);_(@_)"/>
    </dxf>
    <dxf>
      <numFmt numFmtId="167" formatCode="_(* #,##0_);_(* \(#,##0\);_(* &quot;-&quot;??_);_(@_)"/>
    </dxf>
    <dxf>
      <numFmt numFmtId="169" formatCode="&quot;$&quot;#,##0;[Red]\-&quot;$&quot;#,##0"/>
    </dxf>
    <dxf>
      <numFmt numFmtId="169" formatCode="&quot;$&quot;#,##0;[Red]\-&quot;$&quot;#,##0"/>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9" formatCode="&quot;$&quot;#,##0;[Red]\-&quot;$&quot;#,##0"/>
    </dxf>
    <dxf>
      <numFmt numFmtId="167" formatCode="_(* #,##0_);_(* \(#,##0\);_(* &quot;-&quot;??_);_(@_)"/>
    </dxf>
    <dxf>
      <numFmt numFmtId="169" formatCode="&quot;$&quot;#,##0;[Red]\-&quot;$&quot;#,##0"/>
    </dxf>
    <dxf>
      <numFmt numFmtId="167" formatCode="_(* #,##0_);_(* \(#,##0\);_(* &quot;-&quot;??_);_(@_)"/>
    </dxf>
    <dxf>
      <numFmt numFmtId="169" formatCode="&quot;$&quot;#,##0;[Red]\-&quot;$&quot;#,##0"/>
    </dxf>
    <dxf>
      <numFmt numFmtId="166" formatCode="_(&quot;$&quot;* #,##0_);_(&quot;$&quot;* \(#,##0\);_(&quot;$&quot;* &quot;-&quot;??_);_(@_)"/>
    </dxf>
    <dxf>
      <numFmt numFmtId="167" formatCode="_(* #,##0_);_(* \(#,##0\);_(* &quot;-&quot;??_);_(@_)"/>
    </dxf>
    <dxf>
      <numFmt numFmtId="169" formatCode="&quot;$&quot;#,##0;[Red]\-&quot;$&quot;#,##0"/>
    </dxf>
    <dxf>
      <numFmt numFmtId="169" formatCode="&quot;$&quot;#,##0;[Red]\-&quot;$&quot;#,##0"/>
    </dxf>
    <dxf>
      <numFmt numFmtId="167" formatCode="_(* #,##0_);_(* \(#,##0\);_(* &quot;-&quot;??_);_(@_)"/>
    </dxf>
    <dxf>
      <numFmt numFmtId="169" formatCode="&quot;$&quot;#,##0;[Red]\-&quot;$&quot;#,##0"/>
    </dxf>
    <dxf>
      <numFmt numFmtId="169" formatCode="&quot;$&quot;#,##0;[Red]\-&quot;$&quot;#,##0"/>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31750</xdr:colOff>
          <xdr:row>8</xdr:row>
          <xdr:rowOff>12700</xdr:rowOff>
        </xdr:from>
        <xdr:to>
          <xdr:col>14</xdr:col>
          <xdr:colOff>152400</xdr:colOff>
          <xdr:row>8</xdr:row>
          <xdr:rowOff>533400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159</xdr:row>
          <xdr:rowOff>69850</xdr:rowOff>
        </xdr:from>
        <xdr:to>
          <xdr:col>16</xdr:col>
          <xdr:colOff>38100</xdr:colOff>
          <xdr:row>160</xdr:row>
          <xdr:rowOff>260350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50800</xdr:colOff>
          <xdr:row>7</xdr:row>
          <xdr:rowOff>165100</xdr:rowOff>
        </xdr:from>
        <xdr:to>
          <xdr:col>13</xdr:col>
          <xdr:colOff>184150</xdr:colOff>
          <xdr:row>11</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908050</xdr:colOff>
          <xdr:row>35</xdr:row>
          <xdr:rowOff>127000</xdr:rowOff>
        </xdr:from>
        <xdr:to>
          <xdr:col>13</xdr:col>
          <xdr:colOff>114300</xdr:colOff>
          <xdr:row>38</xdr:row>
          <xdr:rowOff>165100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374650</xdr:colOff>
          <xdr:row>8</xdr:row>
          <xdr:rowOff>114300</xdr:rowOff>
        </xdr:from>
        <xdr:to>
          <xdr:col>11</xdr:col>
          <xdr:colOff>374650</xdr:colOff>
          <xdr:row>11</xdr:row>
          <xdr:rowOff>12700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355600</xdr:colOff>
          <xdr:row>107</xdr:row>
          <xdr:rowOff>146050</xdr:rowOff>
        </xdr:from>
        <xdr:to>
          <xdr:col>11</xdr:col>
          <xdr:colOff>374650</xdr:colOff>
          <xdr:row>111</xdr:row>
          <xdr:rowOff>12700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488950</xdr:colOff>
          <xdr:row>119</xdr:row>
          <xdr:rowOff>76200</xdr:rowOff>
        </xdr:from>
        <xdr:to>
          <xdr:col>11</xdr:col>
          <xdr:colOff>488950</xdr:colOff>
          <xdr:row>122</xdr:row>
          <xdr:rowOff>107950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128</xdr:row>
          <xdr:rowOff>50800</xdr:rowOff>
        </xdr:from>
        <xdr:to>
          <xdr:col>16</xdr:col>
          <xdr:colOff>38100</xdr:colOff>
          <xdr:row>131</xdr:row>
          <xdr:rowOff>88900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139</xdr:row>
          <xdr:rowOff>127000</xdr:rowOff>
        </xdr:from>
        <xdr:to>
          <xdr:col>15</xdr:col>
          <xdr:colOff>488950</xdr:colOff>
          <xdr:row>142</xdr:row>
          <xdr:rowOff>152400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298450</xdr:colOff>
          <xdr:row>147</xdr:row>
          <xdr:rowOff>12700</xdr:rowOff>
        </xdr:from>
        <xdr:to>
          <xdr:col>15</xdr:col>
          <xdr:colOff>431800</xdr:colOff>
          <xdr:row>150</xdr:row>
          <xdr:rowOff>50800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412750</xdr:colOff>
          <xdr:row>154</xdr:row>
          <xdr:rowOff>152400</xdr:rowOff>
        </xdr:from>
        <xdr:to>
          <xdr:col>19</xdr:col>
          <xdr:colOff>0</xdr:colOff>
          <xdr:row>158</xdr:row>
          <xdr:rowOff>31750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164</xdr:row>
          <xdr:rowOff>184150</xdr:rowOff>
        </xdr:from>
        <xdr:to>
          <xdr:col>23</xdr:col>
          <xdr:colOff>412750</xdr:colOff>
          <xdr:row>167</xdr:row>
          <xdr:rowOff>146050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2H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127000</xdr:colOff>
          <xdr:row>9</xdr:row>
          <xdr:rowOff>76200</xdr:rowOff>
        </xdr:from>
        <xdr:to>
          <xdr:col>11</xdr:col>
          <xdr:colOff>419100</xdr:colOff>
          <xdr:row>12</xdr:row>
          <xdr:rowOff>127000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146050</xdr:colOff>
          <xdr:row>19</xdr:row>
          <xdr:rowOff>38100</xdr:rowOff>
        </xdr:from>
        <xdr:to>
          <xdr:col>11</xdr:col>
          <xdr:colOff>457200</xdr:colOff>
          <xdr:row>22</xdr:row>
          <xdr:rowOff>69850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88900</xdr:colOff>
          <xdr:row>29</xdr:row>
          <xdr:rowOff>127000</xdr:rowOff>
        </xdr:from>
        <xdr:to>
          <xdr:col>11</xdr:col>
          <xdr:colOff>381000</xdr:colOff>
          <xdr:row>32</xdr:row>
          <xdr:rowOff>146050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39</xdr:row>
          <xdr:rowOff>107950</xdr:rowOff>
        </xdr:from>
        <xdr:to>
          <xdr:col>11</xdr:col>
          <xdr:colOff>336550</xdr:colOff>
          <xdr:row>42</xdr:row>
          <xdr:rowOff>146050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88900</xdr:colOff>
          <xdr:row>49</xdr:row>
          <xdr:rowOff>76200</xdr:rowOff>
        </xdr:from>
        <xdr:to>
          <xdr:col>11</xdr:col>
          <xdr:colOff>381000</xdr:colOff>
          <xdr:row>52</xdr:row>
          <xdr:rowOff>107950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57</xdr:row>
          <xdr:rowOff>12700</xdr:rowOff>
        </xdr:from>
        <xdr:to>
          <xdr:col>11</xdr:col>
          <xdr:colOff>342900</xdr:colOff>
          <xdr:row>60</xdr:row>
          <xdr:rowOff>38100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431800</xdr:colOff>
          <xdr:row>65</xdr:row>
          <xdr:rowOff>152400</xdr:rowOff>
        </xdr:from>
        <xdr:to>
          <xdr:col>12</xdr:col>
          <xdr:colOff>184150</xdr:colOff>
          <xdr:row>69</xdr:row>
          <xdr:rowOff>31750</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184150</xdr:colOff>
          <xdr:row>78</xdr:row>
          <xdr:rowOff>152400</xdr:rowOff>
        </xdr:from>
        <xdr:to>
          <xdr:col>11</xdr:col>
          <xdr:colOff>488950</xdr:colOff>
          <xdr:row>82</xdr:row>
          <xdr:rowOff>38100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336550</xdr:colOff>
          <xdr:row>11</xdr:row>
          <xdr:rowOff>50800</xdr:rowOff>
        </xdr:from>
        <xdr:to>
          <xdr:col>14</xdr:col>
          <xdr:colOff>457200</xdr:colOff>
          <xdr:row>14</xdr:row>
          <xdr:rowOff>107950</xdr:rowOff>
        </xdr:to>
        <xdr:sp macro="" textlink="">
          <xdr:nvSpPr>
            <xdr:cNvPr id="9225" name="Button 9" hidden="1">
              <a:extLst>
                <a:ext uri="{63B3BB69-23CF-44E3-9099-C40C66FF867C}">
                  <a14:compatExt spid="_x0000_s9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25</xdr:row>
          <xdr:rowOff>69850</xdr:rowOff>
        </xdr:from>
        <xdr:to>
          <xdr:col>14</xdr:col>
          <xdr:colOff>527050</xdr:colOff>
          <xdr:row>28</xdr:row>
          <xdr:rowOff>107950</xdr:rowOff>
        </xdr:to>
        <xdr:sp macro="" textlink="">
          <xdr:nvSpPr>
            <xdr:cNvPr id="9226" name="Button 10" hidden="1">
              <a:extLst>
                <a:ext uri="{63B3BB69-23CF-44E3-9099-C40C66FF867C}">
                  <a14:compatExt spid="_x0000_s9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3B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450850</xdr:colOff>
          <xdr:row>47</xdr:row>
          <xdr:rowOff>88900</xdr:rowOff>
        </xdr:from>
        <xdr:to>
          <xdr:col>15</xdr:col>
          <xdr:colOff>50800</xdr:colOff>
          <xdr:row>50</xdr:row>
          <xdr:rowOff>114300</xdr:rowOff>
        </xdr:to>
        <xdr:sp macro="" textlink="">
          <xdr:nvSpPr>
            <xdr:cNvPr id="9227" name="Button 11" hidden="1">
              <a:extLst>
                <a:ext uri="{63B3BB69-23CF-44E3-9099-C40C66FF867C}">
                  <a14:compatExt spid="_x0000_s9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3C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431800</xdr:colOff>
          <xdr:row>73</xdr:row>
          <xdr:rowOff>152400</xdr:rowOff>
        </xdr:from>
        <xdr:to>
          <xdr:col>15</xdr:col>
          <xdr:colOff>31750</xdr:colOff>
          <xdr:row>77</xdr:row>
          <xdr:rowOff>31750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3D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412750</xdr:colOff>
          <xdr:row>11</xdr:row>
          <xdr:rowOff>69850</xdr:rowOff>
        </xdr:from>
        <xdr:to>
          <xdr:col>15</xdr:col>
          <xdr:colOff>0</xdr:colOff>
          <xdr:row>14</xdr:row>
          <xdr:rowOff>107950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450850</xdr:colOff>
          <xdr:row>25</xdr:row>
          <xdr:rowOff>107950</xdr:rowOff>
        </xdr:from>
        <xdr:to>
          <xdr:col>15</xdr:col>
          <xdr:colOff>38100</xdr:colOff>
          <xdr:row>28</xdr:row>
          <xdr:rowOff>146050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431800</xdr:colOff>
          <xdr:row>47</xdr:row>
          <xdr:rowOff>146050</xdr:rowOff>
        </xdr:from>
        <xdr:to>
          <xdr:col>15</xdr:col>
          <xdr:colOff>31750</xdr:colOff>
          <xdr:row>51</xdr:row>
          <xdr:rowOff>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73</xdr:row>
          <xdr:rowOff>152400</xdr:rowOff>
        </xdr:from>
        <xdr:to>
          <xdr:col>14</xdr:col>
          <xdr:colOff>488950</xdr:colOff>
          <xdr:row>77</xdr:row>
          <xdr:rowOff>31750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850900</xdr:colOff>
          <xdr:row>10</xdr:row>
          <xdr:rowOff>146050</xdr:rowOff>
        </xdr:from>
        <xdr:to>
          <xdr:col>12</xdr:col>
          <xdr:colOff>317500</xdr:colOff>
          <xdr:row>14</xdr:row>
          <xdr:rowOff>31750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25</xdr:row>
          <xdr:rowOff>31750</xdr:rowOff>
        </xdr:from>
        <xdr:to>
          <xdr:col>12</xdr:col>
          <xdr:colOff>355600</xdr:colOff>
          <xdr:row>28</xdr:row>
          <xdr:rowOff>50800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850900</xdr:colOff>
          <xdr:row>49</xdr:row>
          <xdr:rowOff>107950</xdr:rowOff>
        </xdr:from>
        <xdr:to>
          <xdr:col>12</xdr:col>
          <xdr:colOff>317500</xdr:colOff>
          <xdr:row>52</xdr:row>
          <xdr:rowOff>127000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4C</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317500</xdr:colOff>
          <xdr:row>13</xdr:row>
          <xdr:rowOff>146050</xdr:rowOff>
        </xdr:from>
        <xdr:to>
          <xdr:col>14</xdr:col>
          <xdr:colOff>450850</xdr:colOff>
          <xdr:row>17</xdr:row>
          <xdr:rowOff>31750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28</xdr:row>
          <xdr:rowOff>31750</xdr:rowOff>
        </xdr:from>
        <xdr:to>
          <xdr:col>14</xdr:col>
          <xdr:colOff>488950</xdr:colOff>
          <xdr:row>31</xdr:row>
          <xdr:rowOff>50800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336550</xdr:colOff>
          <xdr:row>50</xdr:row>
          <xdr:rowOff>69850</xdr:rowOff>
        </xdr:from>
        <xdr:to>
          <xdr:col>14</xdr:col>
          <xdr:colOff>457200</xdr:colOff>
          <xdr:row>53</xdr:row>
          <xdr:rowOff>88900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13</xdr:row>
          <xdr:rowOff>31750</xdr:rowOff>
        </xdr:from>
        <xdr:to>
          <xdr:col>18</xdr:col>
          <xdr:colOff>222250</xdr:colOff>
          <xdr:row>16</xdr:row>
          <xdr:rowOff>69850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5A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27</xdr:row>
          <xdr:rowOff>69850</xdr:rowOff>
        </xdr:from>
        <xdr:to>
          <xdr:col>18</xdr:col>
          <xdr:colOff>260350</xdr:colOff>
          <xdr:row>30</xdr:row>
          <xdr:rowOff>107950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5B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107950</xdr:colOff>
          <xdr:row>49</xdr:row>
          <xdr:rowOff>107950</xdr:rowOff>
        </xdr:from>
        <xdr:to>
          <xdr:col>18</xdr:col>
          <xdr:colOff>228600</xdr:colOff>
          <xdr:row>52</xdr:row>
          <xdr:rowOff>146050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5C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298450</xdr:colOff>
          <xdr:row>135</xdr:row>
          <xdr:rowOff>69850</xdr:rowOff>
        </xdr:from>
        <xdr:to>
          <xdr:col>17</xdr:col>
          <xdr:colOff>419100</xdr:colOff>
          <xdr:row>138</xdr:row>
          <xdr:rowOff>107950</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5D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304800</xdr:colOff>
          <xdr:row>144</xdr:row>
          <xdr:rowOff>12700</xdr:rowOff>
        </xdr:from>
        <xdr:to>
          <xdr:col>17</xdr:col>
          <xdr:colOff>450850</xdr:colOff>
          <xdr:row>147</xdr:row>
          <xdr:rowOff>38100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5E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374650</xdr:colOff>
          <xdr:row>10</xdr:row>
          <xdr:rowOff>31750</xdr:rowOff>
        </xdr:from>
        <xdr:to>
          <xdr:col>15</xdr:col>
          <xdr:colOff>495300</xdr:colOff>
          <xdr:row>13</xdr:row>
          <xdr:rowOff>69850</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393700</xdr:colOff>
          <xdr:row>24</xdr:row>
          <xdr:rowOff>69850</xdr:rowOff>
        </xdr:from>
        <xdr:to>
          <xdr:col>16</xdr:col>
          <xdr:colOff>0</xdr:colOff>
          <xdr:row>27</xdr:row>
          <xdr:rowOff>107950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46</xdr:row>
          <xdr:rowOff>107950</xdr:rowOff>
        </xdr:from>
        <xdr:to>
          <xdr:col>15</xdr:col>
          <xdr:colOff>527050</xdr:colOff>
          <xdr:row>49</xdr:row>
          <xdr:rowOff>146050</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374650</xdr:colOff>
          <xdr:row>57</xdr:row>
          <xdr:rowOff>31750</xdr:rowOff>
        </xdr:from>
        <xdr:to>
          <xdr:col>16</xdr:col>
          <xdr:colOff>1028700</xdr:colOff>
          <xdr:row>60</xdr:row>
          <xdr:rowOff>69850</xdr:rowOff>
        </xdr:to>
        <xdr:sp macro="" textlink="">
          <xdr:nvSpPr>
            <xdr:cNvPr id="14347" name="Button 11" hidden="1">
              <a:extLst>
                <a:ext uri="{63B3BB69-23CF-44E3-9099-C40C66FF867C}">
                  <a14:compatExt spid="_x0000_s14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336550</xdr:colOff>
          <xdr:row>63</xdr:row>
          <xdr:rowOff>146050</xdr:rowOff>
        </xdr:from>
        <xdr:to>
          <xdr:col>16</xdr:col>
          <xdr:colOff>1022350</xdr:colOff>
          <xdr:row>67</xdr:row>
          <xdr:rowOff>0</xdr:rowOff>
        </xdr:to>
        <xdr:sp macro="" textlink="">
          <xdr:nvSpPr>
            <xdr:cNvPr id="14348" name="Button 12" hidden="1">
              <a:extLst>
                <a:ext uri="{63B3BB69-23CF-44E3-9099-C40C66FF867C}">
                  <a14:compatExt spid="_x0000_s143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181</xdr:row>
          <xdr:rowOff>146050</xdr:rowOff>
        </xdr:from>
        <xdr:to>
          <xdr:col>16</xdr:col>
          <xdr:colOff>755650</xdr:colOff>
          <xdr:row>185</xdr:row>
          <xdr:rowOff>12700</xdr:rowOff>
        </xdr:to>
        <xdr:sp macro="" textlink="">
          <xdr:nvSpPr>
            <xdr:cNvPr id="14350" name="Button 14" hidden="1">
              <a:extLst>
                <a:ext uri="{63B3BB69-23CF-44E3-9099-C40C66FF867C}">
                  <a14:compatExt spid="_x0000_s1435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69850</xdr:colOff>
          <xdr:row>189</xdr:row>
          <xdr:rowOff>76200</xdr:rowOff>
        </xdr:from>
        <xdr:to>
          <xdr:col>16</xdr:col>
          <xdr:colOff>736600</xdr:colOff>
          <xdr:row>192</xdr:row>
          <xdr:rowOff>107950</xdr:rowOff>
        </xdr:to>
        <xdr:sp macro="" textlink="">
          <xdr:nvSpPr>
            <xdr:cNvPr id="14351" name="Button 15" hidden="1">
              <a:extLst>
                <a:ext uri="{63B3BB69-23CF-44E3-9099-C40C66FF867C}">
                  <a14:compatExt spid="_x0000_s143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4B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609600</xdr:colOff>
          <xdr:row>11</xdr:row>
          <xdr:rowOff>76200</xdr:rowOff>
        </xdr:from>
        <xdr:to>
          <xdr:col>13</xdr:col>
          <xdr:colOff>450850</xdr:colOff>
          <xdr:row>14</xdr:row>
          <xdr:rowOff>114300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6A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679450</xdr:colOff>
          <xdr:row>26</xdr:row>
          <xdr:rowOff>107950</xdr:rowOff>
        </xdr:from>
        <xdr:to>
          <xdr:col>13</xdr:col>
          <xdr:colOff>495300</xdr:colOff>
          <xdr:row>29</xdr:row>
          <xdr:rowOff>146050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6B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88900</xdr:colOff>
          <xdr:row>17</xdr:row>
          <xdr:rowOff>76200</xdr:rowOff>
        </xdr:from>
        <xdr:to>
          <xdr:col>16</xdr:col>
          <xdr:colOff>641350</xdr:colOff>
          <xdr:row>20</xdr:row>
          <xdr:rowOff>114300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32</xdr:row>
          <xdr:rowOff>107950</xdr:rowOff>
        </xdr:from>
        <xdr:to>
          <xdr:col>16</xdr:col>
          <xdr:colOff>685800</xdr:colOff>
          <xdr:row>35</xdr:row>
          <xdr:rowOff>146050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114300</xdr:colOff>
          <xdr:row>12</xdr:row>
          <xdr:rowOff>76200</xdr:rowOff>
        </xdr:from>
        <xdr:to>
          <xdr:col>14</xdr:col>
          <xdr:colOff>241300</xdr:colOff>
          <xdr:row>15</xdr:row>
          <xdr:rowOff>114300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7A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184150</xdr:colOff>
          <xdr:row>27</xdr:row>
          <xdr:rowOff>107950</xdr:rowOff>
        </xdr:from>
        <xdr:to>
          <xdr:col>14</xdr:col>
          <xdr:colOff>298450</xdr:colOff>
          <xdr:row>30</xdr:row>
          <xdr:rowOff>146050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Show Answer for 7B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8</xdr:col>
      <xdr:colOff>472440</xdr:colOff>
      <xdr:row>8</xdr:row>
      <xdr:rowOff>32385</xdr:rowOff>
    </xdr:from>
    <xdr:to>
      <xdr:col>11</xdr:col>
      <xdr:colOff>100965</xdr:colOff>
      <xdr:row>20</xdr:row>
      <xdr:rowOff>116523</xdr:rowOff>
    </xdr:to>
    <mc:AlternateContent xmlns:mc="http://schemas.openxmlformats.org/markup-compatibility/2006" xmlns:a14="http://schemas.microsoft.com/office/drawing/2010/main">
      <mc:Choice Requires="a14">
        <xdr:graphicFrame macro="">
          <xdr:nvGraphicFramePr>
            <xdr:cNvPr id="2"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63715" y="1461135"/>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691515</xdr:colOff>
      <xdr:row>26</xdr:row>
      <xdr:rowOff>144780</xdr:rowOff>
    </xdr:from>
    <xdr:to>
      <xdr:col>9</xdr:col>
      <xdr:colOff>843915</xdr:colOff>
      <xdr:row>39</xdr:row>
      <xdr:rowOff>47942</xdr:rowOff>
    </xdr:to>
    <mc:AlternateContent xmlns:mc="http://schemas.openxmlformats.org/markup-compatibility/2006" xmlns:a14="http://schemas.microsoft.com/office/drawing/2010/main">
      <mc:Choice Requires="a14">
        <xdr:graphicFrame macro="">
          <xdr:nvGraphicFramePr>
            <xdr:cNvPr id="4" name="Sales Channel"/>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6263640" y="471678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317500</xdr:colOff>
          <xdr:row>12</xdr:row>
          <xdr:rowOff>76200</xdr:rowOff>
        </xdr:from>
        <xdr:to>
          <xdr:col>15</xdr:col>
          <xdr:colOff>450850</xdr:colOff>
          <xdr:row>15</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27</xdr:row>
          <xdr:rowOff>107950</xdr:rowOff>
        </xdr:from>
        <xdr:to>
          <xdr:col>15</xdr:col>
          <xdr:colOff>495300</xdr:colOff>
          <xdr:row>30</xdr:row>
          <xdr:rowOff>146050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yadegar002/Desktop/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lee058/Documents/PwC/Reinvest/Excel%20Guru/Intern%20Onboarding%2020160612/Excel%20Gurus%20-%20Foundational%20and%20Intermediate%20Course%205.31.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daniele006/Excel%20Gurus/Foundational%20Course/Excel%20Gurus%20-%20Foundational%20and%20Intermediate%20Course%205.31.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yadegar002/Desktop/10.255.32.203/pwcftpdp/Users/jmclane001/Documents/Work/2013.05.20_Wyndham_Res%20System/Final%20Documents/WHG%20CRS%20Assessment%20Financial%20Model-06142013%20vFINAL.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yadegar002/Desktop/10.255.32.203/pwcftpdp/Users/jmclane001/Documents/Work/Training,%20L&amp;D,%20Learning,%20Courses/Training%20the%20Street/MCK%20Case/1%20FM_101_Examples_TWO-Day_v14.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CAM1"/>
      <sheetName val="SIROP"/>
      <sheetName val="SACHET"/>
      <sheetName val="TUBE"/>
      <sheetName val="SOUDURE"/>
      <sheetName val="UHL4"/>
      <sheetName val="GELULE"/>
      <sheetName val="UHL3"/>
      <sheetName val="UHL2"/>
      <sheetName val="SEC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71">
          <cell r="C71" t="str">
            <v>Pure Soft Detergent - 100ml</v>
          </cell>
          <cell r="E71" t="str">
            <v>Albania</v>
          </cell>
        </row>
        <row r="72">
          <cell r="C72" t="str">
            <v>Pure Soft Detergent - 200ml</v>
          </cell>
          <cell r="E72" t="str">
            <v>Australia</v>
          </cell>
        </row>
        <row r="73">
          <cell r="C73" t="str">
            <v>Pure Soft Detergent - 250ml</v>
          </cell>
          <cell r="E73" t="str">
            <v>Azerbaijan</v>
          </cell>
        </row>
        <row r="74">
          <cell r="C74" t="str">
            <v>Pure Soft Detergent - 500ml</v>
          </cell>
          <cell r="E74" t="str">
            <v>Bangladesh</v>
          </cell>
        </row>
        <row r="75">
          <cell r="C75" t="str">
            <v>Detafast Stain Remover - 100ml</v>
          </cell>
          <cell r="E75" t="str">
            <v>Botswana</v>
          </cell>
        </row>
        <row r="76">
          <cell r="C76" t="str">
            <v>Detafast Stain Remover - 200ml</v>
          </cell>
          <cell r="E76" t="str">
            <v>Bouvet Island</v>
          </cell>
        </row>
        <row r="77">
          <cell r="C77" t="str">
            <v>Detafast Stain Remover - 800ml</v>
          </cell>
          <cell r="E77" t="str">
            <v>Brazil</v>
          </cell>
        </row>
        <row r="78">
          <cell r="C78" t="str">
            <v>Super Soft - 250ml</v>
          </cell>
          <cell r="E78" t="str">
            <v>Burkina Faso</v>
          </cell>
        </row>
        <row r="79">
          <cell r="C79" t="str">
            <v>Super Soft - 500ml</v>
          </cell>
          <cell r="E79" t="str">
            <v>Burundi</v>
          </cell>
        </row>
        <row r="80">
          <cell r="C80" t="str">
            <v>Super Soft - 1 Litre</v>
          </cell>
          <cell r="E80" t="str">
            <v>Canada</v>
          </cell>
        </row>
        <row r="81">
          <cell r="C81" t="str">
            <v>Super Soft Bulk - 2 Litres</v>
          </cell>
          <cell r="E81" t="str">
            <v>Cape Verde</v>
          </cell>
        </row>
        <row r="82">
          <cell r="E82" t="str">
            <v>Chad</v>
          </cell>
        </row>
        <row r="83">
          <cell r="E83" t="str">
            <v>Chile</v>
          </cell>
        </row>
        <row r="84">
          <cell r="E84" t="str">
            <v>Cocos (Keeling) Islands</v>
          </cell>
        </row>
        <row r="85">
          <cell r="E85" t="str">
            <v>Colombia</v>
          </cell>
        </row>
        <row r="86">
          <cell r="E86" t="str">
            <v>Croatia</v>
          </cell>
        </row>
        <row r="87">
          <cell r="E87" t="str">
            <v>Cuba</v>
          </cell>
        </row>
        <row r="88">
          <cell r="E88" t="str">
            <v>Denmark</v>
          </cell>
        </row>
        <row r="89">
          <cell r="E89" t="str">
            <v>Dominican Republic</v>
          </cell>
        </row>
        <row r="90">
          <cell r="E90" t="str">
            <v>El Salvador</v>
          </cell>
        </row>
        <row r="91">
          <cell r="E91" t="str">
            <v>Falkland Islands (Malvinas)</v>
          </cell>
        </row>
        <row r="92">
          <cell r="E92" t="str">
            <v>Fiji</v>
          </cell>
        </row>
        <row r="93">
          <cell r="E93" t="str">
            <v>Finland</v>
          </cell>
        </row>
        <row r="94">
          <cell r="E94" t="str">
            <v>France</v>
          </cell>
        </row>
        <row r="95">
          <cell r="E95" t="str">
            <v>French Southern Territories</v>
          </cell>
        </row>
        <row r="96">
          <cell r="E96" t="str">
            <v>Gabon</v>
          </cell>
        </row>
        <row r="97">
          <cell r="E97" t="str">
            <v>Gambia</v>
          </cell>
        </row>
        <row r="98">
          <cell r="E98" t="str">
            <v>Georgia</v>
          </cell>
        </row>
        <row r="99">
          <cell r="E99" t="str">
            <v>Guadeloupe</v>
          </cell>
        </row>
        <row r="100">
          <cell r="E100" t="str">
            <v>Guinea</v>
          </cell>
        </row>
        <row r="101">
          <cell r="E101" t="str">
            <v>Hungary</v>
          </cell>
        </row>
        <row r="102">
          <cell r="E102" t="str">
            <v>Iceland</v>
          </cell>
        </row>
        <row r="103">
          <cell r="E103" t="str">
            <v>India</v>
          </cell>
        </row>
        <row r="104">
          <cell r="E104" t="str">
            <v>Indonesia</v>
          </cell>
        </row>
        <row r="105">
          <cell r="E105" t="str">
            <v>Kazakhstan</v>
          </cell>
        </row>
        <row r="106">
          <cell r="E106" t="str">
            <v>Korea</v>
          </cell>
        </row>
        <row r="107">
          <cell r="E107" t="str">
            <v>Korea, Republic of</v>
          </cell>
        </row>
        <row r="108">
          <cell r="E108" t="str">
            <v>Kyrgyzstan</v>
          </cell>
        </row>
        <row r="109">
          <cell r="E109" t="str">
            <v>Liberia</v>
          </cell>
        </row>
        <row r="110">
          <cell r="E110" t="str">
            <v>Macedonia</v>
          </cell>
        </row>
        <row r="111">
          <cell r="E111" t="str">
            <v>Madagascar</v>
          </cell>
        </row>
        <row r="112">
          <cell r="E112" t="str">
            <v>Malawi</v>
          </cell>
        </row>
        <row r="113">
          <cell r="E113" t="str">
            <v>Malaysia</v>
          </cell>
        </row>
        <row r="114">
          <cell r="E114" t="str">
            <v>Malta</v>
          </cell>
        </row>
        <row r="115">
          <cell r="E115" t="str">
            <v>Mauritania</v>
          </cell>
        </row>
        <row r="116">
          <cell r="E116" t="str">
            <v>Mayotte</v>
          </cell>
        </row>
        <row r="117">
          <cell r="E117" t="str">
            <v>Moldova</v>
          </cell>
        </row>
        <row r="118">
          <cell r="E118" t="str">
            <v>Mongolia</v>
          </cell>
        </row>
        <row r="119">
          <cell r="E119" t="str">
            <v>Montserrat</v>
          </cell>
        </row>
        <row r="120">
          <cell r="E120" t="str">
            <v>Morocco</v>
          </cell>
        </row>
        <row r="121">
          <cell r="E121" t="str">
            <v>Nepal</v>
          </cell>
        </row>
        <row r="122">
          <cell r="E122" t="str">
            <v>Netherlands Antilles</v>
          </cell>
        </row>
        <row r="123">
          <cell r="E123" t="str">
            <v>New Caledonia</v>
          </cell>
        </row>
        <row r="124">
          <cell r="E124" t="str">
            <v>Niger</v>
          </cell>
        </row>
        <row r="125">
          <cell r="E125" t="str">
            <v>Nigeria</v>
          </cell>
        </row>
        <row r="126">
          <cell r="E126" t="str">
            <v>Niue</v>
          </cell>
        </row>
        <row r="127">
          <cell r="E127" t="str">
            <v>Norfolk Island</v>
          </cell>
        </row>
        <row r="128">
          <cell r="E128" t="str">
            <v>Pakistan</v>
          </cell>
        </row>
        <row r="129">
          <cell r="E129" t="str">
            <v>Palau</v>
          </cell>
        </row>
        <row r="130">
          <cell r="E130" t="str">
            <v>Panama</v>
          </cell>
        </row>
        <row r="131">
          <cell r="E131" t="str">
            <v>Philippines</v>
          </cell>
        </row>
        <row r="132">
          <cell r="E132" t="str">
            <v>Poland</v>
          </cell>
        </row>
        <row r="133">
          <cell r="E133" t="str">
            <v>Puerto Rico</v>
          </cell>
        </row>
        <row r="134">
          <cell r="E134" t="str">
            <v>Reunion</v>
          </cell>
        </row>
        <row r="135">
          <cell r="E135" t="str">
            <v>Saint Helena</v>
          </cell>
        </row>
        <row r="136">
          <cell r="E136" t="str">
            <v>Saudi Arabia</v>
          </cell>
        </row>
        <row r="137">
          <cell r="E137" t="str">
            <v>Sierra Leone</v>
          </cell>
        </row>
        <row r="138">
          <cell r="E138" t="str">
            <v>Slovenia</v>
          </cell>
        </row>
        <row r="139">
          <cell r="E139" t="str">
            <v>Solomon Islands</v>
          </cell>
        </row>
        <row r="140">
          <cell r="E140" t="str">
            <v>South Africa</v>
          </cell>
        </row>
        <row r="141">
          <cell r="E141" t="str">
            <v>Svalbard and Jan Mayen</v>
          </cell>
        </row>
        <row r="142">
          <cell r="E142" t="str">
            <v>Syrian Arab Republic</v>
          </cell>
        </row>
        <row r="143">
          <cell r="E143" t="str">
            <v>Tanzania, United Republic of</v>
          </cell>
        </row>
        <row r="144">
          <cell r="E144" t="str">
            <v>Tonga</v>
          </cell>
        </row>
        <row r="145">
          <cell r="E145" t="str">
            <v>Trinidad and Tobago</v>
          </cell>
        </row>
        <row r="146">
          <cell r="E146" t="str">
            <v>Tunisia</v>
          </cell>
        </row>
        <row r="147">
          <cell r="E147" t="str">
            <v>Turkey</v>
          </cell>
        </row>
        <row r="148">
          <cell r="E148" t="str">
            <v>Turks and Caicos Islands</v>
          </cell>
        </row>
        <row r="149">
          <cell r="E149" t="str">
            <v>Tuvalu</v>
          </cell>
        </row>
        <row r="150">
          <cell r="E150" t="str">
            <v>United States</v>
          </cell>
        </row>
        <row r="151">
          <cell r="E151" t="str">
            <v>United States Minor Outlying Islands</v>
          </cell>
        </row>
        <row r="152">
          <cell r="E152" t="str">
            <v>Uruguay</v>
          </cell>
        </row>
        <row r="153">
          <cell r="E153" t="str">
            <v>Vanuatu</v>
          </cell>
        </row>
        <row r="154">
          <cell r="E154" t="str">
            <v>Virgin Islands, British</v>
          </cell>
        </row>
        <row r="155">
          <cell r="E155" t="str">
            <v>Western Sahara</v>
          </cell>
        </row>
        <row r="156">
          <cell r="E156" t="str">
            <v>Yemen</v>
          </cell>
        </row>
        <row r="157">
          <cell r="E157" t="str">
            <v>Zimbabwe</v>
          </cell>
        </row>
      </sheetData>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lee058" refreshedDate="42566.602259490741" createdVersion="5" refreshedVersion="5" minRefreshableVersion="3" recordCount="107">
  <cacheSource type="worksheet">
    <worksheetSource name="D1_SALES_DATA"/>
  </cacheSource>
  <cacheFields count="13">
    <cacheField name="Distributor ID" numFmtId="0">
      <sharedItems containsSemiMixedTypes="0" containsString="0" containsNumber="1" containsInteger="1" minValue="23263" maxValue="23380"/>
    </cacheField>
    <cacheField name="Distributor Name" numFmtId="0">
      <sharedItems count="107">
        <s v="Devin Abbott"/>
        <s v="Aphrodite Brennan"/>
        <s v="Guinevere Key"/>
        <s v="Zahir Fields"/>
        <s v="Deacon Craig"/>
        <s v="Brynne Mcgowan"/>
        <s v="Lani Sweet"/>
        <s v="Noble Warner"/>
        <s v="Levi Douglas"/>
        <s v="Jelani Odonnell"/>
        <s v="Jared Sandoval"/>
        <s v="Hiroko Acevedo"/>
        <s v="Rhona Clarke"/>
        <s v="Tad Mack"/>
        <s v="Rama Goodwin"/>
        <s v="Keaton Wolfe"/>
        <s v="Samuel Ayala"/>
        <s v="Doris Williams"/>
        <s v="Ingrid Bush"/>
        <s v="Nell Maddox"/>
        <s v="Benedict Byrd"/>
        <s v="Ethan Gregory"/>
        <s v="Ursula Mcconnell"/>
        <s v="Fletcher Jimenez"/>
        <s v="Isadora Mcclure"/>
        <s v="Liberty Mcbride"/>
        <s v="Noble Gilbert"/>
        <s v="Maxine Gentry"/>
        <s v="Melinda Cobb"/>
        <s v="Yael Carter"/>
        <s v="Kay Buckley"/>
        <s v="Athena Fitzpatrick"/>
        <s v="Joy Vazquez"/>
        <s v="Amery Frazier"/>
        <s v="Buckminster Hopkins"/>
        <s v="George Best"/>
        <s v="Maxwell Parker"/>
        <s v="Lance Little"/>
        <s v="Gwendolyn Walton"/>
        <s v="Isaac Wolf"/>
        <s v="Celeste Pugh"/>
        <s v="Oprah Ellis"/>
        <s v="Emerson Beard"/>
        <s v="Renee Padilla"/>
        <s v="Maite Henson"/>
        <s v="Ivory Chang"/>
        <s v="Clark Weaver"/>
        <s v="Ima Cummings"/>
        <s v="Adria Kaufman"/>
        <s v="Nyssa Quinn"/>
        <s v="Amir Alexander"/>
        <s v="Imogene Bradshaw"/>
        <s v="Gwendolyn Mccarty"/>
        <s v="Bell Prince"/>
        <s v="Katelyn Joseph"/>
        <s v="Robert Juarez"/>
        <s v="Jerry Alvarado"/>
        <s v="India Gilbert"/>
        <s v="Iliana Porter"/>
        <s v="Deanna Santana"/>
        <s v="Ivor Mclaughlin"/>
        <s v="Latifah Wall"/>
        <s v="Anika Tillman"/>
        <s v="Paul Duke"/>
        <s v="Sawyer Stokes"/>
        <s v="Xerxes Smith"/>
        <s v="Wanda Garza"/>
        <s v="Anjolie Hicks"/>
        <s v="Asher Weber"/>
        <s v="Mercedes Humphrey"/>
        <s v="Hayes Rollins"/>
        <s v="Josiah Yates"/>
        <s v="Winifred Cantu"/>
        <s v="Germaine Kidd"/>
        <s v="Kenyon Joyce"/>
        <s v="Joel Rivers"/>
        <s v="Colby Knapp"/>
        <s v="Vance Campos"/>
        <s v="Lael Gould"/>
        <s v="Jane Hernandez"/>
        <s v="Dara Cunningham"/>
        <s v="Colette Sargent"/>
        <s v="Shea Cortez"/>
        <s v="Cyrus Whitley"/>
        <s v="Eleanor Hopper"/>
        <s v="Forrest Macdonald"/>
        <s v="Desirae Perkins"/>
        <s v="Barrett Mckinney"/>
        <s v="Basil Vang"/>
        <s v="Noel Key"/>
        <s v="Ebony Mercer"/>
        <s v="Isaac Cooper"/>
        <s v="James Spencer"/>
        <s v="Clark Orr"/>
        <s v="Phillip Perkins"/>
        <s v="Uriel Benton"/>
        <s v="Aretha Patton"/>
        <s v="Thomas Barnes"/>
        <s v="Victoria Solis"/>
        <s v="Arsenio Knowles"/>
        <s v="Ryder Conner"/>
        <s v="Roary Dixon"/>
        <s v="Silas Battle"/>
        <s v="Leonard Cardenas"/>
        <s v="Brittany Burris"/>
        <s v="Petra Mckenzie"/>
        <s v="Angela Wise"/>
      </sharedItems>
    </cacheField>
    <cacheField name="Country" numFmtId="0">
      <sharedItems count="87">
        <s v="France"/>
        <s v="Malawi"/>
        <s v="Colombia"/>
        <s v="Canada"/>
        <s v="Mongolia"/>
        <s v="Finland"/>
        <s v="Vanuatu"/>
        <s v="Burkina Faso"/>
        <s v="Tanzania, United Republic of"/>
        <s v="Albania"/>
        <s v="Botswana"/>
        <s v="Burundi"/>
        <s v="Zimbabwe"/>
        <s v="Iceland"/>
        <s v="Tunisia"/>
        <s v="French Southern Territories"/>
        <s v="Brazil"/>
        <s v="Trinidad and Tobago"/>
        <s v="Montserrat"/>
        <s v="Azerbaijan"/>
        <s v="Mauritania"/>
        <s v="Tuvalu"/>
        <s v="Hungary"/>
        <s v="Chad"/>
        <s v="Indonesia"/>
        <s v="Fiji"/>
        <s v="United States"/>
        <s v="Panama"/>
        <s v="Uruguay"/>
        <s v="Malaysia"/>
        <s v="Malta"/>
        <s v="Reunion"/>
        <s v="Korea"/>
        <s v="Georgia"/>
        <s v="Sierra Leone"/>
        <s v="Western Sahara"/>
        <s v="Falkland Islands (Malvinas)"/>
        <s v="Croatia"/>
        <s v="Cuba"/>
        <s v="Gabon"/>
        <s v="Dominican Republic"/>
        <s v="Niue"/>
        <s v="Yemen"/>
        <s v="Bangladesh"/>
        <s v="Tonga"/>
        <s v="Palau"/>
        <s v="Philippines"/>
        <s v="Bouvet Island"/>
        <s v="Cocos (Keeling) Islands"/>
        <s v="Liberia"/>
        <s v="Niger"/>
        <s v="Madagascar"/>
        <s v="Guinea"/>
        <s v="Slovenia"/>
        <s v="Svalbard and Jan Mayen"/>
        <s v="Korea, Republic of"/>
        <s v="Denmark"/>
        <s v="Poland"/>
        <s v="Solomon Islands"/>
        <s v="United States Minor Outlying Islands"/>
        <s v="Guadeloupe"/>
        <s v="Puerto Rico"/>
        <s v="Kyrgyzstan"/>
        <s v="Turks and Caicos Islands"/>
        <s v="Macedonia"/>
        <s v="Turkey"/>
        <s v="Nepal"/>
        <s v="Kazakhstan"/>
        <s v="Australia"/>
        <s v="Pakistan"/>
        <s v="Syrian Arab Republic"/>
        <s v="El Salvador"/>
        <s v="Saint Helena"/>
        <s v="Norfolk Island"/>
        <s v="India"/>
        <s v="New Caledonia"/>
        <s v="Chile"/>
        <s v="Moldova"/>
        <s v="Gambia"/>
        <s v="Cape Verde"/>
        <s v="Netherlands Antilles"/>
        <s v="Nigeria"/>
        <s v="South Africa"/>
        <s v="Mayotte"/>
        <s v="Virgin Islands, British"/>
        <s v="Saudi Arabia"/>
        <s v="Morocco"/>
      </sharedItems>
    </cacheField>
    <cacheField name="Product Code" numFmtId="0">
      <sharedItems/>
    </cacheField>
    <cacheField name="Product " numFmtId="0">
      <sharedItems count="11">
        <s v="Super Soft Bulk - 2 Litres"/>
        <s v="Super Soft - 1 Litre"/>
        <s v="Detafast Stain Remover - 800ml"/>
        <s v="Super Soft - 500ml"/>
        <s v="Detafast Stain Remover - 200ml"/>
        <s v="Detafast Stain Remover - 100ml"/>
        <s v="Pure Soft Detergent - 250ml"/>
        <s v="Pure Soft Detergent - 200ml"/>
        <s v="Super Soft - 250ml"/>
        <s v="Pure Soft Detergent - 500ml"/>
        <s v="Pure Soft Detergent - 100ml"/>
      </sharedItems>
    </cacheField>
    <cacheField name="Sales Channel" numFmtId="0">
      <sharedItems count="3">
        <s v="Online"/>
        <s v="Direct"/>
        <s v="Retail"/>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ount="83">
        <n v="208"/>
        <n v="197"/>
        <n v="176"/>
        <n v="168"/>
        <n v="166"/>
        <n v="157"/>
        <n v="142"/>
        <n v="193"/>
        <n v="205"/>
        <n v="199"/>
        <n v="188"/>
        <n v="167"/>
        <n v="163"/>
        <n v="170"/>
        <n v="102"/>
        <n v="160"/>
        <n v="204"/>
        <n v="141"/>
        <n v="147"/>
        <n v="184"/>
        <n v="135"/>
        <n v="73"/>
        <n v="116"/>
        <n v="95"/>
        <n v="203"/>
        <n v="196"/>
        <n v="125"/>
        <n v="189"/>
        <n v="126"/>
        <n v="201"/>
        <n v="178"/>
        <n v="108"/>
        <n v="165"/>
        <n v="105"/>
        <n v="113"/>
        <n v="150"/>
        <n v="69"/>
        <n v="93"/>
        <n v="134"/>
        <n v="151"/>
        <n v="100"/>
        <n v="85"/>
        <n v="84"/>
        <n v="82"/>
        <n v="137"/>
        <n v="179"/>
        <n v="37"/>
        <n v="89"/>
        <n v="131"/>
        <n v="77"/>
        <n v="109"/>
        <n v="122"/>
        <n v="106"/>
        <n v="67"/>
        <n v="71"/>
        <n v="153"/>
        <n v="47"/>
        <n v="65"/>
        <n v="42"/>
        <n v="64"/>
        <n v="104"/>
        <n v="41"/>
        <n v="129"/>
        <n v="112"/>
        <n v="80"/>
        <n v="48"/>
        <n v="50"/>
        <n v="43"/>
        <n v="18"/>
        <n v="57"/>
        <n v="22"/>
        <n v="30"/>
        <n v="63"/>
        <n v="14"/>
        <n v="13"/>
        <n v="28"/>
        <n v="16"/>
        <n v="20"/>
        <n v="12"/>
        <n v="10"/>
        <n v="9"/>
        <n v="5"/>
        <n v="7"/>
      </sharedItems>
    </cacheField>
    <cacheField name="Unit Price" numFmtId="8">
      <sharedItems containsSemiMixedTypes="0" containsString="0" containsNumber="1" minValue="3" maxValue="14.5"/>
    </cacheField>
    <cacheField name="Revenue" numFmtId="166">
      <sharedItems containsSemiMixedTypes="0" containsString="0" containsNumber="1" minValue="30" maxValue="3016"/>
    </cacheField>
    <cacheField name="Tax" numFmtId="0" formula="Revenue*0.075" databaseField="0"/>
    <cacheField name="Cost" numFmtId="0" formula="Revenue*0.5"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7">
  <r>
    <n v="23345"/>
    <x v="0"/>
    <x v="0"/>
    <s v="SUPA105"/>
    <x v="0"/>
    <x v="0"/>
    <d v="2012-08-29T00:00:00"/>
    <n v="8"/>
    <x v="0"/>
    <n v="14.5"/>
    <n v="3016"/>
  </r>
  <r>
    <n v="23278"/>
    <x v="1"/>
    <x v="1"/>
    <s v="SUPA105"/>
    <x v="0"/>
    <x v="1"/>
    <d v="2012-08-24T00:00:00"/>
    <n v="8"/>
    <x v="1"/>
    <n v="14.5"/>
    <n v="2856.5"/>
  </r>
  <r>
    <n v="23303"/>
    <x v="2"/>
    <x v="2"/>
    <s v="SUPA105"/>
    <x v="0"/>
    <x v="2"/>
    <d v="2012-08-17T00:00:00"/>
    <n v="8"/>
    <x v="2"/>
    <n v="14.5"/>
    <n v="2552"/>
  </r>
  <r>
    <n v="23353"/>
    <x v="3"/>
    <x v="3"/>
    <s v="SUPA105"/>
    <x v="0"/>
    <x v="1"/>
    <d v="2012-06-10T00:00:00"/>
    <n v="6"/>
    <x v="3"/>
    <n v="14.5"/>
    <n v="2436"/>
  </r>
  <r>
    <n v="23289"/>
    <x v="4"/>
    <x v="4"/>
    <s v="SUPA105"/>
    <x v="0"/>
    <x v="2"/>
    <d v="2012-08-02T00:00:00"/>
    <n v="8"/>
    <x v="4"/>
    <n v="14.5"/>
    <n v="2407"/>
  </r>
  <r>
    <n v="23378"/>
    <x v="5"/>
    <x v="5"/>
    <s v="SUPA105"/>
    <x v="0"/>
    <x v="0"/>
    <d v="2012-06-18T00:00:00"/>
    <n v="6"/>
    <x v="5"/>
    <n v="14.5"/>
    <n v="2276.5"/>
  </r>
  <r>
    <n v="23283"/>
    <x v="6"/>
    <x v="6"/>
    <s v="SUPA105"/>
    <x v="0"/>
    <x v="0"/>
    <d v="2012-06-24T00:00:00"/>
    <n v="6"/>
    <x v="6"/>
    <n v="14.5"/>
    <n v="2059"/>
  </r>
  <r>
    <n v="23324"/>
    <x v="7"/>
    <x v="7"/>
    <s v="SUPA104"/>
    <x v="1"/>
    <x v="2"/>
    <d v="2012-08-13T00:00:00"/>
    <n v="8"/>
    <x v="7"/>
    <n v="9.99"/>
    <n v="1928.07"/>
  </r>
  <r>
    <n v="23264"/>
    <x v="8"/>
    <x v="8"/>
    <s v="DETA800"/>
    <x v="2"/>
    <x v="0"/>
    <d v="2012-08-18T00:00:00"/>
    <n v="8"/>
    <x v="8"/>
    <n v="9"/>
    <n v="1845"/>
  </r>
  <r>
    <n v="23291"/>
    <x v="9"/>
    <x v="9"/>
    <s v="DETA800"/>
    <x v="2"/>
    <x v="2"/>
    <d v="2012-08-18T00:00:00"/>
    <n v="8"/>
    <x v="9"/>
    <n v="9"/>
    <n v="1791"/>
  </r>
  <r>
    <n v="23305"/>
    <x v="10"/>
    <x v="10"/>
    <s v="DETA800"/>
    <x v="2"/>
    <x v="0"/>
    <d v="2012-08-26T00:00:00"/>
    <n v="8"/>
    <x v="10"/>
    <n v="9"/>
    <n v="1692"/>
  </r>
  <r>
    <n v="23350"/>
    <x v="11"/>
    <x v="11"/>
    <s v="DETA800"/>
    <x v="2"/>
    <x v="0"/>
    <d v="2012-06-25T00:00:00"/>
    <n v="6"/>
    <x v="10"/>
    <n v="9"/>
    <n v="1692"/>
  </r>
  <r>
    <n v="23300"/>
    <x v="12"/>
    <x v="12"/>
    <s v="SUPA104"/>
    <x v="1"/>
    <x v="0"/>
    <d v="2012-01-07T00:00:00"/>
    <n v="1"/>
    <x v="11"/>
    <n v="9.99"/>
    <n v="1668.33"/>
  </r>
  <r>
    <n v="23348"/>
    <x v="13"/>
    <x v="13"/>
    <s v="SUPA104"/>
    <x v="1"/>
    <x v="2"/>
    <d v="2012-08-25T00:00:00"/>
    <n v="8"/>
    <x v="12"/>
    <n v="9.99"/>
    <n v="1628.3700000000001"/>
  </r>
  <r>
    <n v="23290"/>
    <x v="14"/>
    <x v="14"/>
    <s v="DETA800"/>
    <x v="2"/>
    <x v="0"/>
    <d v="2012-08-11T00:00:00"/>
    <n v="8"/>
    <x v="13"/>
    <n v="9"/>
    <n v="1530"/>
  </r>
  <r>
    <n v="23328"/>
    <x v="15"/>
    <x v="15"/>
    <s v="SUPA105"/>
    <x v="0"/>
    <x v="2"/>
    <d v="2012-01-15T00:00:00"/>
    <n v="1"/>
    <x v="14"/>
    <n v="14.5"/>
    <n v="1479"/>
  </r>
  <r>
    <n v="23294"/>
    <x v="16"/>
    <x v="16"/>
    <s v="DETA800"/>
    <x v="2"/>
    <x v="2"/>
    <d v="2012-06-22T00:00:00"/>
    <n v="6"/>
    <x v="15"/>
    <n v="9"/>
    <n v="1440"/>
  </r>
  <r>
    <n v="23371"/>
    <x v="17"/>
    <x v="17"/>
    <s v="SUPA103"/>
    <x v="3"/>
    <x v="0"/>
    <d v="2012-08-15T00:00:00"/>
    <n v="8"/>
    <x v="16"/>
    <n v="6.99"/>
    <n v="1425.96"/>
  </r>
  <r>
    <n v="23288"/>
    <x v="18"/>
    <x v="18"/>
    <s v="SUPA104"/>
    <x v="1"/>
    <x v="1"/>
    <d v="2012-06-14T00:00:00"/>
    <n v="6"/>
    <x v="17"/>
    <n v="9.99"/>
    <n v="1408.59"/>
  </r>
  <r>
    <n v="23347"/>
    <x v="19"/>
    <x v="19"/>
    <s v="DETA800"/>
    <x v="2"/>
    <x v="0"/>
    <d v="2012-06-28T00:00:00"/>
    <n v="6"/>
    <x v="18"/>
    <n v="9"/>
    <n v="1323"/>
  </r>
  <r>
    <n v="23361"/>
    <x v="20"/>
    <x v="20"/>
    <s v="SUPA103"/>
    <x v="3"/>
    <x v="0"/>
    <d v="2012-01-07T00:00:00"/>
    <n v="1"/>
    <x v="19"/>
    <n v="6.99"/>
    <n v="1286.1600000000001"/>
  </r>
  <r>
    <n v="23275"/>
    <x v="21"/>
    <x v="21"/>
    <s v="DETA800"/>
    <x v="2"/>
    <x v="2"/>
    <d v="2012-01-04T00:00:00"/>
    <n v="1"/>
    <x v="17"/>
    <n v="9"/>
    <n v="1269"/>
  </r>
  <r>
    <n v="23297"/>
    <x v="22"/>
    <x v="22"/>
    <s v="DETA800"/>
    <x v="2"/>
    <x v="0"/>
    <d v="2012-08-12T00:00:00"/>
    <n v="8"/>
    <x v="20"/>
    <n v="9"/>
    <n v="1215"/>
  </r>
  <r>
    <n v="23327"/>
    <x v="23"/>
    <x v="23"/>
    <s v="DETA200"/>
    <x v="4"/>
    <x v="2"/>
    <d v="2012-01-31T00:00:00"/>
    <n v="1"/>
    <x v="2"/>
    <n v="6.5"/>
    <n v="1144"/>
  </r>
  <r>
    <n v="23325"/>
    <x v="24"/>
    <x v="24"/>
    <s v="DETA100"/>
    <x v="5"/>
    <x v="2"/>
    <d v="2012-06-22T00:00:00"/>
    <n v="6"/>
    <x v="19"/>
    <n v="6"/>
    <n v="1104"/>
  </r>
  <r>
    <n v="23292"/>
    <x v="25"/>
    <x v="25"/>
    <s v="SUPA105"/>
    <x v="0"/>
    <x v="0"/>
    <d v="2012-01-03T00:00:00"/>
    <n v="1"/>
    <x v="21"/>
    <n v="14.5"/>
    <n v="1058.5"/>
  </r>
  <r>
    <n v="23335"/>
    <x v="26"/>
    <x v="26"/>
    <s v="DETA800"/>
    <x v="2"/>
    <x v="0"/>
    <d v="2012-08-13T00:00:00"/>
    <n v="8"/>
    <x v="22"/>
    <n v="9"/>
    <n v="1044"/>
  </r>
  <r>
    <n v="23314"/>
    <x v="27"/>
    <x v="27"/>
    <s v="SUPA104"/>
    <x v="1"/>
    <x v="2"/>
    <d v="2012-08-10T00:00:00"/>
    <n v="8"/>
    <x v="23"/>
    <n v="9.99"/>
    <n v="949.05000000000007"/>
  </r>
  <r>
    <n v="23329"/>
    <x v="28"/>
    <x v="28"/>
    <s v="PURA250"/>
    <x v="6"/>
    <x v="2"/>
    <d v="2012-01-23T00:00:00"/>
    <n v="1"/>
    <x v="24"/>
    <n v="4.5"/>
    <n v="913.5"/>
  </r>
  <r>
    <n v="23332"/>
    <x v="29"/>
    <x v="29"/>
    <s v="PURA250"/>
    <x v="6"/>
    <x v="1"/>
    <d v="2012-02-11T00:00:00"/>
    <n v="2"/>
    <x v="24"/>
    <n v="4.5"/>
    <n v="913.5"/>
  </r>
  <r>
    <n v="23317"/>
    <x v="30"/>
    <x v="30"/>
    <s v="PURA250"/>
    <x v="6"/>
    <x v="1"/>
    <d v="2012-02-17T00:00:00"/>
    <n v="2"/>
    <x v="25"/>
    <n v="4.5"/>
    <n v="882"/>
  </r>
  <r>
    <n v="23271"/>
    <x v="31"/>
    <x v="31"/>
    <s v="SUPA103"/>
    <x v="3"/>
    <x v="2"/>
    <d v="2012-02-27T00:00:00"/>
    <n v="2"/>
    <x v="26"/>
    <n v="6.99"/>
    <n v="873.75"/>
  </r>
  <r>
    <n v="23287"/>
    <x v="32"/>
    <x v="32"/>
    <s v="PURA250"/>
    <x v="6"/>
    <x v="2"/>
    <d v="2012-06-17T00:00:00"/>
    <n v="6"/>
    <x v="27"/>
    <n v="4.5"/>
    <n v="850.5"/>
  </r>
  <r>
    <n v="23349"/>
    <x v="33"/>
    <x v="33"/>
    <s v="DETA200"/>
    <x v="4"/>
    <x v="2"/>
    <d v="2012-07-22T00:00:00"/>
    <n v="7"/>
    <x v="28"/>
    <n v="6.5"/>
    <n v="819"/>
  </r>
  <r>
    <n v="23309"/>
    <x v="34"/>
    <x v="34"/>
    <s v="PURA200"/>
    <x v="7"/>
    <x v="0"/>
    <d v="2012-06-23T00:00:00"/>
    <n v="6"/>
    <x v="29"/>
    <n v="3.99"/>
    <n v="801.99"/>
  </r>
  <r>
    <n v="23338"/>
    <x v="35"/>
    <x v="35"/>
    <s v="PURA250"/>
    <x v="6"/>
    <x v="2"/>
    <d v="2012-08-12T00:00:00"/>
    <n v="8"/>
    <x v="30"/>
    <n v="4.5"/>
    <n v="801"/>
  </r>
  <r>
    <n v="23301"/>
    <x v="36"/>
    <x v="36"/>
    <s v="SUPA103"/>
    <x v="3"/>
    <x v="2"/>
    <d v="2012-07-19T00:00:00"/>
    <n v="7"/>
    <x v="31"/>
    <n v="6.99"/>
    <n v="754.92000000000007"/>
  </r>
  <r>
    <n v="23320"/>
    <x v="37"/>
    <x v="37"/>
    <s v="DETA100"/>
    <x v="5"/>
    <x v="1"/>
    <d v="2012-06-15T00:00:00"/>
    <n v="6"/>
    <x v="26"/>
    <n v="6"/>
    <n v="750"/>
  </r>
  <r>
    <n v="23365"/>
    <x v="38"/>
    <x v="38"/>
    <s v="SUPA102"/>
    <x v="8"/>
    <x v="2"/>
    <d v="2012-07-09T00:00:00"/>
    <n v="7"/>
    <x v="32"/>
    <n v="4.5"/>
    <n v="742.5"/>
  </r>
  <r>
    <n v="23302"/>
    <x v="39"/>
    <x v="27"/>
    <s v="PURA500"/>
    <x v="9"/>
    <x v="0"/>
    <d v="2012-07-27T00:00:00"/>
    <n v="7"/>
    <x v="33"/>
    <n v="6.5"/>
    <n v="682.5"/>
  </r>
  <r>
    <n v="23266"/>
    <x v="40"/>
    <x v="39"/>
    <s v="PURA200"/>
    <x v="7"/>
    <x v="0"/>
    <d v="2012-08-11T00:00:00"/>
    <n v="8"/>
    <x v="13"/>
    <n v="3.99"/>
    <n v="678.30000000000007"/>
  </r>
  <r>
    <n v="23307"/>
    <x v="41"/>
    <x v="40"/>
    <s v="DETA100"/>
    <x v="5"/>
    <x v="2"/>
    <d v="2012-07-04T00:00:00"/>
    <n v="7"/>
    <x v="34"/>
    <n v="6"/>
    <n v="678"/>
  </r>
  <r>
    <n v="23368"/>
    <x v="42"/>
    <x v="41"/>
    <s v="SUPA102"/>
    <x v="8"/>
    <x v="2"/>
    <d v="2012-08-25T00:00:00"/>
    <n v="8"/>
    <x v="35"/>
    <n v="4.5"/>
    <n v="675"/>
  </r>
  <r>
    <n v="23286"/>
    <x v="43"/>
    <x v="42"/>
    <s v="DETA800"/>
    <x v="2"/>
    <x v="0"/>
    <d v="2012-08-08T00:00:00"/>
    <n v="8"/>
    <x v="36"/>
    <n v="9"/>
    <n v="621"/>
  </r>
  <r>
    <n v="23373"/>
    <x v="44"/>
    <x v="43"/>
    <s v="DETA200"/>
    <x v="4"/>
    <x v="0"/>
    <d v="2012-07-24T00:00:00"/>
    <n v="7"/>
    <x v="23"/>
    <n v="6.5"/>
    <n v="617.5"/>
  </r>
  <r>
    <n v="23380"/>
    <x v="45"/>
    <x v="44"/>
    <s v="PURA500"/>
    <x v="9"/>
    <x v="2"/>
    <d v="2012-07-22T00:00:00"/>
    <n v="7"/>
    <x v="23"/>
    <n v="6.5"/>
    <n v="617.5"/>
  </r>
  <r>
    <n v="23284"/>
    <x v="46"/>
    <x v="45"/>
    <s v="PURA250"/>
    <x v="6"/>
    <x v="2"/>
    <d v="2012-06-17T00:00:00"/>
    <n v="6"/>
    <x v="20"/>
    <n v="4.5"/>
    <n v="607.5"/>
  </r>
  <r>
    <n v="23306"/>
    <x v="47"/>
    <x v="46"/>
    <s v="DETA200"/>
    <x v="4"/>
    <x v="0"/>
    <d v="2012-06-08T00:00:00"/>
    <n v="6"/>
    <x v="37"/>
    <n v="6.5"/>
    <n v="604.5"/>
  </r>
  <r>
    <n v="23281"/>
    <x v="48"/>
    <x v="47"/>
    <s v="SUPA102"/>
    <x v="8"/>
    <x v="2"/>
    <d v="2012-07-13T00:00:00"/>
    <n v="7"/>
    <x v="38"/>
    <n v="4.5"/>
    <n v="603"/>
  </r>
  <r>
    <n v="23351"/>
    <x v="49"/>
    <x v="48"/>
    <s v="PURA200"/>
    <x v="7"/>
    <x v="0"/>
    <d v="2012-08-03T00:00:00"/>
    <n v="8"/>
    <x v="39"/>
    <n v="3.99"/>
    <n v="602.49"/>
  </r>
  <r>
    <n v="23282"/>
    <x v="50"/>
    <x v="49"/>
    <s v="DETA100"/>
    <x v="5"/>
    <x v="2"/>
    <d v="2012-08-21T00:00:00"/>
    <n v="8"/>
    <x v="40"/>
    <n v="6"/>
    <n v="600"/>
  </r>
  <r>
    <n v="23376"/>
    <x v="51"/>
    <x v="50"/>
    <s v="SUPA103"/>
    <x v="3"/>
    <x v="1"/>
    <d v="2012-07-23T00:00:00"/>
    <n v="7"/>
    <x v="41"/>
    <n v="6.99"/>
    <n v="594.15"/>
  </r>
  <r>
    <n v="23354"/>
    <x v="52"/>
    <x v="51"/>
    <s v="SUPA103"/>
    <x v="3"/>
    <x v="0"/>
    <d v="2012-08-03T00:00:00"/>
    <n v="8"/>
    <x v="42"/>
    <n v="6.99"/>
    <n v="587.16"/>
  </r>
  <r>
    <n v="23337"/>
    <x v="53"/>
    <x v="52"/>
    <s v="SUPA103"/>
    <x v="3"/>
    <x v="2"/>
    <d v="2012-07-07T00:00:00"/>
    <n v="7"/>
    <x v="43"/>
    <n v="6.99"/>
    <n v="573.18000000000006"/>
  </r>
  <r>
    <n v="23326"/>
    <x v="54"/>
    <x v="53"/>
    <s v="SUPA102"/>
    <x v="8"/>
    <x v="2"/>
    <d v="2012-08-21T00:00:00"/>
    <n v="8"/>
    <x v="28"/>
    <n v="4.5"/>
    <n v="567"/>
  </r>
  <r>
    <n v="23316"/>
    <x v="55"/>
    <x v="54"/>
    <s v="PURA200"/>
    <x v="7"/>
    <x v="2"/>
    <d v="2012-06-01T00:00:00"/>
    <n v="6"/>
    <x v="44"/>
    <n v="3.99"/>
    <n v="546.63"/>
  </r>
  <r>
    <n v="23362"/>
    <x v="56"/>
    <x v="55"/>
    <s v="PURA100"/>
    <x v="10"/>
    <x v="0"/>
    <d v="2012-08-18T00:00:00"/>
    <n v="8"/>
    <x v="45"/>
    <n v="3"/>
    <n v="537"/>
  </r>
  <r>
    <n v="23296"/>
    <x v="57"/>
    <x v="56"/>
    <s v="SUPA105"/>
    <x v="0"/>
    <x v="2"/>
    <d v="2012-06-08T00:00:00"/>
    <n v="6"/>
    <x v="46"/>
    <n v="14.5"/>
    <n v="536.5"/>
  </r>
  <r>
    <n v="23352"/>
    <x v="58"/>
    <x v="57"/>
    <s v="DETA100"/>
    <x v="5"/>
    <x v="0"/>
    <d v="2012-07-07T00:00:00"/>
    <n v="7"/>
    <x v="47"/>
    <n v="6"/>
    <n v="534"/>
  </r>
  <r>
    <n v="23304"/>
    <x v="59"/>
    <x v="58"/>
    <s v="PURA200"/>
    <x v="7"/>
    <x v="2"/>
    <d v="2012-06-01T00:00:00"/>
    <n v="6"/>
    <x v="48"/>
    <n v="3.99"/>
    <n v="522.69000000000005"/>
  </r>
  <r>
    <n v="23369"/>
    <x v="60"/>
    <x v="59"/>
    <s v="PURA500"/>
    <x v="9"/>
    <x v="2"/>
    <d v="2012-07-02T00:00:00"/>
    <n v="7"/>
    <x v="49"/>
    <n v="6.5"/>
    <n v="500.5"/>
  </r>
  <r>
    <n v="23268"/>
    <x v="61"/>
    <x v="60"/>
    <s v="DETA100"/>
    <x v="5"/>
    <x v="0"/>
    <d v="2012-07-12T00:00:00"/>
    <n v="7"/>
    <x v="43"/>
    <n v="6"/>
    <n v="492"/>
  </r>
  <r>
    <n v="23315"/>
    <x v="62"/>
    <x v="7"/>
    <s v="PURA250"/>
    <x v="6"/>
    <x v="2"/>
    <d v="2012-07-12T00:00:00"/>
    <n v="7"/>
    <x v="50"/>
    <n v="4.5"/>
    <n v="490.5"/>
  </r>
  <r>
    <n v="23342"/>
    <x v="63"/>
    <x v="61"/>
    <s v="PURA200"/>
    <x v="7"/>
    <x v="0"/>
    <d v="2012-06-28T00:00:00"/>
    <n v="6"/>
    <x v="51"/>
    <n v="3.99"/>
    <n v="486.78000000000003"/>
  </r>
  <r>
    <n v="23333"/>
    <x v="64"/>
    <x v="30"/>
    <s v="PURA250"/>
    <x v="6"/>
    <x v="0"/>
    <d v="2012-08-05T00:00:00"/>
    <n v="8"/>
    <x v="52"/>
    <n v="4.5"/>
    <n v="477"/>
  </r>
  <r>
    <n v="23263"/>
    <x v="65"/>
    <x v="27"/>
    <s v="DETA200"/>
    <x v="4"/>
    <x v="0"/>
    <d v="2012-07-06T00:00:00"/>
    <n v="7"/>
    <x v="21"/>
    <n v="6.5"/>
    <n v="474.5"/>
  </r>
  <r>
    <n v="23270"/>
    <x v="66"/>
    <x v="62"/>
    <s v="SUPA103"/>
    <x v="3"/>
    <x v="2"/>
    <d v="2012-06-07T00:00:00"/>
    <n v="6"/>
    <x v="53"/>
    <n v="6.99"/>
    <n v="468.33000000000004"/>
  </r>
  <r>
    <n v="23272"/>
    <x v="67"/>
    <x v="63"/>
    <s v="DETA200"/>
    <x v="4"/>
    <x v="1"/>
    <d v="2012-07-31T00:00:00"/>
    <n v="7"/>
    <x v="54"/>
    <n v="6.5"/>
    <n v="461.5"/>
  </r>
  <r>
    <n v="23274"/>
    <x v="68"/>
    <x v="64"/>
    <s v="PURA100"/>
    <x v="10"/>
    <x v="2"/>
    <d v="2012-08-22T00:00:00"/>
    <n v="8"/>
    <x v="55"/>
    <n v="3"/>
    <n v="459"/>
  </r>
  <r>
    <n v="23364"/>
    <x v="69"/>
    <x v="65"/>
    <s v="DETA800"/>
    <x v="2"/>
    <x v="0"/>
    <d v="2012-07-03T00:00:00"/>
    <n v="7"/>
    <x v="56"/>
    <n v="9"/>
    <n v="423"/>
  </r>
  <r>
    <n v="23276"/>
    <x v="70"/>
    <x v="66"/>
    <s v="PURA500"/>
    <x v="9"/>
    <x v="0"/>
    <d v="2012-08-01T00:00:00"/>
    <n v="8"/>
    <x v="57"/>
    <n v="6.5"/>
    <n v="422.5"/>
  </r>
  <r>
    <n v="23343"/>
    <x v="71"/>
    <x v="43"/>
    <s v="SUPA104"/>
    <x v="1"/>
    <x v="0"/>
    <d v="2012-08-23T00:00:00"/>
    <n v="8"/>
    <x v="58"/>
    <n v="9.99"/>
    <n v="419.58"/>
  </r>
  <r>
    <n v="23344"/>
    <x v="72"/>
    <x v="67"/>
    <s v="DETA200"/>
    <x v="4"/>
    <x v="0"/>
    <d v="2012-12-22T00:00:00"/>
    <n v="12"/>
    <x v="59"/>
    <n v="6.5"/>
    <n v="416"/>
  </r>
  <r>
    <n v="23299"/>
    <x v="73"/>
    <x v="50"/>
    <s v="PURA200"/>
    <x v="7"/>
    <x v="2"/>
    <d v="2012-06-27T00:00:00"/>
    <n v="6"/>
    <x v="60"/>
    <n v="3.99"/>
    <n v="414.96000000000004"/>
  </r>
  <r>
    <n v="23310"/>
    <x v="74"/>
    <x v="3"/>
    <s v="SUPA104"/>
    <x v="1"/>
    <x v="0"/>
    <d v="2012-06-17T00:00:00"/>
    <n v="6"/>
    <x v="61"/>
    <n v="9.99"/>
    <n v="409.59000000000003"/>
  </r>
  <r>
    <n v="23358"/>
    <x v="75"/>
    <x v="68"/>
    <s v="SUPA104"/>
    <x v="1"/>
    <x v="2"/>
    <d v="2012-06-11T00:00:00"/>
    <n v="6"/>
    <x v="61"/>
    <n v="9.99"/>
    <n v="409.59000000000003"/>
  </r>
  <r>
    <n v="23323"/>
    <x v="76"/>
    <x v="69"/>
    <s v="PURA100"/>
    <x v="10"/>
    <x v="0"/>
    <d v="2012-12-29T00:00:00"/>
    <n v="12"/>
    <x v="20"/>
    <n v="3"/>
    <n v="405"/>
  </r>
  <r>
    <n v="23267"/>
    <x v="77"/>
    <x v="70"/>
    <s v="PURA100"/>
    <x v="10"/>
    <x v="0"/>
    <d v="2012-07-11T00:00:00"/>
    <n v="7"/>
    <x v="62"/>
    <n v="3"/>
    <n v="387"/>
  </r>
  <r>
    <n v="23340"/>
    <x v="78"/>
    <x v="71"/>
    <s v="SUPA102"/>
    <x v="8"/>
    <x v="0"/>
    <d v="2012-07-05T00:00:00"/>
    <n v="7"/>
    <x v="41"/>
    <n v="4.5"/>
    <n v="382.5"/>
  </r>
  <r>
    <n v="23269"/>
    <x v="79"/>
    <x v="64"/>
    <s v="PURA100"/>
    <x v="10"/>
    <x v="0"/>
    <d v="2012-06-03T00:00:00"/>
    <n v="6"/>
    <x v="22"/>
    <n v="3"/>
    <n v="348"/>
  </r>
  <r>
    <n v="23308"/>
    <x v="80"/>
    <x v="72"/>
    <s v="PURA100"/>
    <x v="10"/>
    <x v="2"/>
    <d v="2012-07-09T00:00:00"/>
    <n v="7"/>
    <x v="63"/>
    <n v="3"/>
    <n v="336"/>
  </r>
  <r>
    <n v="23356"/>
    <x v="81"/>
    <x v="73"/>
    <s v="PURA200"/>
    <x v="7"/>
    <x v="0"/>
    <d v="2012-06-21T00:00:00"/>
    <n v="6"/>
    <x v="64"/>
    <n v="3.99"/>
    <n v="319.20000000000005"/>
  </r>
  <r>
    <n v="23318"/>
    <x v="82"/>
    <x v="74"/>
    <s v="DETA200"/>
    <x v="4"/>
    <x v="0"/>
    <d v="2012-07-09T00:00:00"/>
    <n v="7"/>
    <x v="65"/>
    <n v="6.5"/>
    <n v="312"/>
  </r>
  <r>
    <n v="23357"/>
    <x v="83"/>
    <x v="56"/>
    <s v="DETA100"/>
    <x v="5"/>
    <x v="2"/>
    <d v="2012-07-17T00:00:00"/>
    <n v="7"/>
    <x v="66"/>
    <n v="6"/>
    <n v="300"/>
  </r>
  <r>
    <n v="23377"/>
    <x v="84"/>
    <x v="51"/>
    <s v="PURA500"/>
    <x v="9"/>
    <x v="0"/>
    <d v="2012-06-15T00:00:00"/>
    <n v="6"/>
    <x v="67"/>
    <n v="6.5"/>
    <n v="279.5"/>
  </r>
  <r>
    <n v="23311"/>
    <x v="85"/>
    <x v="75"/>
    <s v="SUPA105"/>
    <x v="0"/>
    <x v="2"/>
    <d v="2012-06-12T00:00:00"/>
    <n v="6"/>
    <x v="68"/>
    <n v="14.5"/>
    <n v="261"/>
  </r>
  <r>
    <n v="23379"/>
    <x v="86"/>
    <x v="76"/>
    <s v="PURA200"/>
    <x v="7"/>
    <x v="0"/>
    <d v="2012-12-27T00:00:00"/>
    <n v="12"/>
    <x v="57"/>
    <n v="3.99"/>
    <n v="259.35000000000002"/>
  </r>
  <r>
    <n v="23360"/>
    <x v="87"/>
    <x v="70"/>
    <s v="SUPA103"/>
    <x v="3"/>
    <x v="0"/>
    <d v="2012-06-13T00:00:00"/>
    <n v="6"/>
    <x v="46"/>
    <n v="6.99"/>
    <n v="258.63"/>
  </r>
  <r>
    <n v="23339"/>
    <x v="88"/>
    <x v="77"/>
    <s v="DETA100"/>
    <x v="5"/>
    <x v="0"/>
    <d v="2012-07-11T00:00:00"/>
    <n v="7"/>
    <x v="61"/>
    <n v="6"/>
    <n v="246"/>
  </r>
  <r>
    <n v="23341"/>
    <x v="89"/>
    <x v="78"/>
    <s v="PURA100"/>
    <x v="10"/>
    <x v="2"/>
    <d v="2012-04-27T00:00:00"/>
    <n v="4"/>
    <x v="49"/>
    <n v="3"/>
    <n v="231"/>
  </r>
  <r>
    <n v="23374"/>
    <x v="90"/>
    <x v="79"/>
    <s v="PURA200"/>
    <x v="7"/>
    <x v="0"/>
    <d v="2012-12-14T00:00:00"/>
    <n v="12"/>
    <x v="69"/>
    <n v="3.99"/>
    <n v="227.43"/>
  </r>
  <r>
    <n v="23273"/>
    <x v="91"/>
    <x v="80"/>
    <s v="SUPA104"/>
    <x v="1"/>
    <x v="0"/>
    <d v="2012-12-13T00:00:00"/>
    <n v="12"/>
    <x v="70"/>
    <n v="9.99"/>
    <n v="219.78"/>
  </r>
  <r>
    <n v="23280"/>
    <x v="92"/>
    <x v="7"/>
    <s v="SUPA103"/>
    <x v="3"/>
    <x v="0"/>
    <d v="2012-04-03T00:00:00"/>
    <n v="4"/>
    <x v="71"/>
    <n v="6.99"/>
    <n v="209.70000000000002"/>
  </r>
  <r>
    <n v="23370"/>
    <x v="93"/>
    <x v="24"/>
    <s v="PURA100"/>
    <x v="10"/>
    <x v="2"/>
    <d v="2012-04-29T00:00:00"/>
    <n v="4"/>
    <x v="72"/>
    <n v="3"/>
    <n v="189"/>
  </r>
  <r>
    <n v="23372"/>
    <x v="94"/>
    <x v="81"/>
    <s v="PURA500"/>
    <x v="9"/>
    <x v="0"/>
    <d v="2012-12-12T00:00:00"/>
    <n v="12"/>
    <x v="70"/>
    <n v="6.5"/>
    <n v="143"/>
  </r>
  <r>
    <n v="23265"/>
    <x v="95"/>
    <x v="82"/>
    <s v="SUPA104"/>
    <x v="1"/>
    <x v="2"/>
    <d v="2012-12-05T00:00:00"/>
    <n v="12"/>
    <x v="73"/>
    <n v="9.99"/>
    <n v="139.86000000000001"/>
  </r>
  <r>
    <n v="23346"/>
    <x v="96"/>
    <x v="47"/>
    <s v="SUPA104"/>
    <x v="1"/>
    <x v="0"/>
    <d v="2012-07-29T00:00:00"/>
    <n v="7"/>
    <x v="74"/>
    <n v="9.99"/>
    <n v="129.87"/>
  </r>
  <r>
    <n v="23312"/>
    <x v="97"/>
    <x v="83"/>
    <s v="PURA200"/>
    <x v="7"/>
    <x v="0"/>
    <d v="2012-07-06T00:00:00"/>
    <n v="7"/>
    <x v="75"/>
    <n v="3.99"/>
    <n v="111.72"/>
  </r>
  <r>
    <n v="23355"/>
    <x v="98"/>
    <x v="45"/>
    <s v="PURA250"/>
    <x v="6"/>
    <x v="0"/>
    <d v="2012-04-27T00:00:00"/>
    <n v="4"/>
    <x v="76"/>
    <n v="4.5"/>
    <n v="72"/>
  </r>
  <r>
    <n v="23322"/>
    <x v="99"/>
    <x v="29"/>
    <s v="PURA100"/>
    <x v="10"/>
    <x v="2"/>
    <d v="2012-04-10T00:00:00"/>
    <n v="4"/>
    <x v="77"/>
    <n v="3"/>
    <n v="60"/>
  </r>
  <r>
    <n v="23298"/>
    <x v="100"/>
    <x v="84"/>
    <s v="PURA250"/>
    <x v="6"/>
    <x v="1"/>
    <d v="2012-07-28T00:00:00"/>
    <n v="7"/>
    <x v="78"/>
    <n v="4.5"/>
    <n v="54"/>
  </r>
  <r>
    <n v="23367"/>
    <x v="101"/>
    <x v="85"/>
    <s v="PURA250"/>
    <x v="6"/>
    <x v="2"/>
    <d v="2012-04-24T00:00:00"/>
    <n v="4"/>
    <x v="79"/>
    <n v="4.5"/>
    <n v="45"/>
  </r>
  <r>
    <n v="23334"/>
    <x v="102"/>
    <x v="41"/>
    <s v="PURA100"/>
    <x v="10"/>
    <x v="0"/>
    <d v="2012-12-17T00:00:00"/>
    <n v="12"/>
    <x v="73"/>
    <n v="3"/>
    <n v="42"/>
  </r>
  <r>
    <n v="23285"/>
    <x v="103"/>
    <x v="51"/>
    <s v="SUPA102"/>
    <x v="8"/>
    <x v="2"/>
    <d v="2012-07-24T00:00:00"/>
    <n v="7"/>
    <x v="80"/>
    <n v="4.5"/>
    <n v="40.5"/>
  </r>
  <r>
    <n v="23375"/>
    <x v="104"/>
    <x v="45"/>
    <s v="SUPA103"/>
    <x v="3"/>
    <x v="2"/>
    <d v="2012-04-30T00:00:00"/>
    <n v="4"/>
    <x v="81"/>
    <n v="6.99"/>
    <n v="34.950000000000003"/>
  </r>
  <r>
    <n v="23336"/>
    <x v="105"/>
    <x v="86"/>
    <s v="SUPA102"/>
    <x v="8"/>
    <x v="2"/>
    <d v="2012-07-01T00:00:00"/>
    <n v="7"/>
    <x v="82"/>
    <n v="4.5"/>
    <n v="31.5"/>
  </r>
  <r>
    <n v="23279"/>
    <x v="106"/>
    <x v="77"/>
    <s v="PURA100"/>
    <x v="10"/>
    <x v="0"/>
    <d v="2012-04-21T00:00:00"/>
    <n v="4"/>
    <x v="79"/>
    <n v="3"/>
    <n v="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35:H52"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10:H27"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18:G23"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5">
    <i>
      <x v="23"/>
    </i>
    <i>
      <x v="41"/>
    </i>
    <i>
      <x v="9"/>
    </i>
    <i>
      <x v="7"/>
    </i>
    <i>
      <x v="14"/>
    </i>
  </rowItems>
  <colItems count="1">
    <i/>
  </colItems>
  <dataFields count="1">
    <dataField name="Sum of Revenue" fld="10" baseField="0" baseItem="0" numFmtId="6"/>
  </dataFields>
  <formats count="1">
    <format dxfId="28">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49:G53"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4">
    <i>
      <x v="2"/>
    </i>
    <i>
      <x v="10"/>
    </i>
    <i>
      <x v="5"/>
    </i>
    <i>
      <x v="4"/>
    </i>
  </rowItems>
  <colItems count="1">
    <i/>
  </colItems>
  <dataFields count="1">
    <dataField name="Sum of Quantity" fld="8" baseField="0" baseItem="0" numFmtId="167"/>
  </dataFields>
  <formats count="1">
    <format dxfId="29">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30">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81:H84" firstHeaderRow="0" firstDataRow="1" firstDataCol="1" rowPageCount="2"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axis="axisPage" numFmtId="3" multipleItemSelectionAllowed="1" showAll="0">
      <items count="84">
        <item h="1" x="81"/>
        <item h="1" x="82"/>
        <item h="1" x="80"/>
        <item h="1" x="79"/>
        <item h="1" x="78"/>
        <item h="1" x="74"/>
        <item h="1" x="73"/>
        <item h="1" x="76"/>
        <item h="1" x="68"/>
        <item h="1" x="77"/>
        <item h="1" x="70"/>
        <item h="1" x="75"/>
        <item h="1" x="71"/>
        <item h="1" x="46"/>
        <item h="1" x="61"/>
        <item h="1" x="58"/>
        <item h="1" x="67"/>
        <item h="1" x="56"/>
        <item h="1" x="65"/>
        <item h="1" x="66"/>
        <item h="1" x="69"/>
        <item h="1" x="72"/>
        <item h="1" x="59"/>
        <item h="1" x="57"/>
        <item h="1" x="53"/>
        <item h="1" x="36"/>
        <item h="1" x="54"/>
        <item h="1" x="21"/>
        <item h="1" x="49"/>
        <item h="1" x="64"/>
        <item h="1" x="43"/>
        <item h="1" x="42"/>
        <item h="1" x="41"/>
        <item h="1" x="47"/>
        <item h="1" x="37"/>
        <item h="1" x="23"/>
        <item h="1" x="40"/>
        <item x="14"/>
        <item x="60"/>
        <item x="33"/>
        <item x="52"/>
        <item x="31"/>
        <item x="50"/>
        <item x="63"/>
        <item x="34"/>
        <item x="22"/>
        <item x="51"/>
        <item x="26"/>
        <item x="28"/>
        <item x="62"/>
        <item x="48"/>
        <item x="38"/>
        <item x="20"/>
        <item x="44"/>
        <item x="17"/>
        <item x="6"/>
        <item x="18"/>
        <item x="35"/>
        <item x="39"/>
        <item x="55"/>
        <item x="5"/>
        <item x="15"/>
        <item x="12"/>
        <item x="32"/>
        <item x="4"/>
        <item x="11"/>
        <item x="3"/>
        <item x="13"/>
        <item x="2"/>
        <item x="30"/>
        <item x="45"/>
        <item x="19"/>
        <item x="10"/>
        <item x="27"/>
        <item x="7"/>
        <item x="25"/>
        <item x="1"/>
        <item x="9"/>
        <item x="29"/>
        <item x="24"/>
        <item x="16"/>
        <item x="8"/>
        <item x="0"/>
        <item t="default"/>
      </items>
    </pivotField>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2">
    <pageField fld="4" item="10" hier="-1"/>
    <pageField fld="8" hier="-1"/>
  </pageFields>
  <dataFields count="2">
    <dataField name="Count of Distributor Name" fld="1" subtotal="count" baseField="0" baseItem="0" numFmtId="167"/>
    <dataField name="Sum of Revenue" fld="10" baseField="0" baseItem="0" numFmtId="6"/>
  </dataFields>
  <formats count="2">
    <format dxfId="32">
      <pivotArea outline="0" collapsedLevelsAreSubtotals="1" fieldPosition="0"/>
    </format>
    <format dxfId="3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31:G34"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3">
    <i>
      <x v="104"/>
    </i>
    <i>
      <x v="49"/>
    </i>
    <i>
      <x v="73"/>
    </i>
  </rowItems>
  <colItems count="1">
    <i/>
  </colItems>
  <pageFields count="1">
    <pageField fld="2" item="59" hier="-1"/>
  </pageFields>
  <dataFields count="1">
    <dataField name="Sum of Revenue" fld="10" baseField="0" baseItem="0" numFmtId="166"/>
  </dataFields>
  <formats count="1">
    <format dxfId="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68:H71" firstHeaderRow="0" firstDataRow="1" firstDataCol="1" rowPageCount="1"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1">
    <pageField fld="4" item="10" hier="-1"/>
  </pageFields>
  <dataFields count="2">
    <dataField name="Count of Distributor Name" fld="1" subtotal="count" baseField="0" baseItem="0" numFmtId="167"/>
    <dataField name="Sum of Revenue" fld="10" baseField="0" baseItem="0" numFmtId="6"/>
  </dataFields>
  <formats count="2">
    <format dxfId="35">
      <pivotArea outline="0" collapsedLevelsAreSubtotals="1" fieldPosition="0"/>
    </format>
    <format dxfId="3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59:G60" firstHeaderRow="1" firstDataRow="1" firstDataCol="1" rowPageCount="1" colPageCount="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pageFields count="1">
    <pageField fld="5" item="1" hier="-1"/>
  </pageFields>
  <dataFields count="1">
    <dataField name="Sum of Revenue" fld="10" baseField="0" baseItem="0" numFmtId="6"/>
  </dataFields>
  <formats count="1">
    <format dxfId="36">
      <pivotArea outline="0" collapsedLevelsAreSubtotals="1" fieldPosition="0"/>
    </format>
  </formats>
  <pivotTableStyleInfo name="PivotStyleLight16" showRowHeaders="1" showColHeaders="1" showRowStripes="0" showColStripes="0" showLastColumn="1"/>
  <filters count="1">
    <filter fld="2" type="count" evalOrder="-1" id="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41:G42" firstHeaderRow="1" firstDataRow="1" firstDataCol="1" rowPageCount="1" colPageCount="1"/>
  <pivotFields count="13">
    <pivotField showAll="0"/>
    <pivotField axis="axisRow" showAll="0" measureFilter="1"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12">
        <item x="5"/>
        <item x="4"/>
        <item x="2"/>
        <item x="10"/>
        <item x="7"/>
        <item x="6"/>
        <item x="9"/>
        <item x="1"/>
        <item x="8"/>
        <item x="3"/>
        <item x="0"/>
        <item t="default"/>
      </items>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1"/>
  </rowFields>
  <rowItems count="1">
    <i>
      <x v="34"/>
    </i>
  </rowItems>
  <colItems count="1">
    <i/>
  </colItems>
  <pageFields count="1">
    <pageField fld="4" item="1" hier="-1"/>
  </pageFields>
  <dataFields count="1">
    <dataField name="Sum of Quantity" fld="8" baseField="0" baseItem="0" numFmtId="167"/>
  </dataFields>
  <formats count="1">
    <format dxfId="37">
      <pivotArea outline="0" collapsedLevelsAreSubtotals="1" fieldPosition="0"/>
    </format>
  </formats>
  <pivotTableStyleInfo name="PivotStyleLight16" showRowHeaders="1" showColHeaders="1" showRowStripes="0" showColStripes="0" showLastColumn="1"/>
  <filters count="1">
    <filter fld="1"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ow LaBel">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dataFields>
  <formats count="1">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ow Labels">
  <location ref="F10:G12"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2">
    <i>
      <x v="23"/>
    </i>
    <i t="grand">
      <x/>
    </i>
  </rowItems>
  <colItems count="1">
    <i/>
  </colItems>
  <dataFields count="1">
    <dataField name="Sum of Revenue" fld="10" baseField="0" baseItem="0"/>
  </dataFields>
  <formats count="1">
    <format dxfId="25">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Row Label">
  <location ref="F75:G89"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7"/>
    </i>
    <i r="1">
      <x v="10"/>
    </i>
    <i>
      <x v="7"/>
    </i>
    <i r="1">
      <x v="5"/>
    </i>
    <i r="1">
      <x v="7"/>
    </i>
    <i r="1">
      <x v="9"/>
    </i>
    <i>
      <x v="14"/>
    </i>
    <i r="1">
      <x v="10"/>
    </i>
    <i t="grand">
      <x/>
    </i>
  </rowItems>
  <colItems count="1">
    <i/>
  </colItems>
  <dataFields count="1">
    <dataField name="Sum of Revenue" fld="10" baseField="0" baseItem="0"/>
  </dataFields>
  <formats count="1">
    <format dxfId="26">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ow Labels">
  <location ref="F48:G6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items count="4">
        <item x="1"/>
        <item x="0"/>
        <item x="2"/>
        <item t="default"/>
      </items>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i>
    <i r="1">
      <x v="5"/>
    </i>
    <i r="1">
      <x v="10"/>
    </i>
    <i r="1">
      <x v="7"/>
    </i>
    <i r="1">
      <x/>
    </i>
    <i>
      <x v="1"/>
    </i>
    <i r="1">
      <x v="2"/>
    </i>
    <i r="1">
      <x v="4"/>
    </i>
    <i r="1">
      <x v="3"/>
    </i>
    <i r="1">
      <x v="10"/>
    </i>
    <i>
      <x v="2"/>
    </i>
    <i r="1">
      <x v="5"/>
    </i>
    <i r="1">
      <x v="8"/>
    </i>
    <i r="1">
      <x v="7"/>
    </i>
    <i r="1">
      <x v="2"/>
    </i>
    <i t="grand">
      <x/>
    </i>
  </rowItems>
  <colItems count="1">
    <i/>
  </colItems>
  <dataFields count="1">
    <dataField name="Sum of Quantity" fld="8" baseField="0" baseItem="0"/>
  </dataFields>
  <formats count="1">
    <format dxfId="27">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rowHeaderCaption="Products">
  <location ref="F48:H60"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11">
        <item x="5"/>
        <item x="4"/>
        <item x="2"/>
        <item x="10"/>
        <item x="7"/>
        <item x="6"/>
        <item x="9"/>
        <item x="1"/>
        <item x="8"/>
        <item x="3"/>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5"/>
    <field x="4"/>
  </rowFields>
  <rowItems count="12">
    <i>
      <x/>
      <x v="5"/>
    </i>
    <i r="1">
      <x v="10"/>
    </i>
    <i r="1">
      <x v="7"/>
    </i>
    <i r="1">
      <x/>
    </i>
    <i>
      <x v="1"/>
      <x v="2"/>
    </i>
    <i r="1">
      <x v="4"/>
    </i>
    <i r="1">
      <x v="3"/>
    </i>
    <i r="1">
      <x v="10"/>
    </i>
    <i>
      <x v="2"/>
      <x v="5"/>
    </i>
    <i r="1">
      <x v="8"/>
    </i>
    <i r="1">
      <x v="7"/>
    </i>
    <i r="1">
      <x v="2"/>
    </i>
  </rowItems>
  <colItems count="1">
    <i/>
  </colItems>
  <dataFields count="1">
    <dataField name="Sum of Quantity" fld="8" baseField="0" baseItem="0" numFmtId="167"/>
  </dataFields>
  <formats count="1">
    <format dxfId="20">
      <pivotArea outline="0" collapsedLevelsAreSubtotals="1" fieldPosition="0"/>
    </format>
  </formats>
  <pivotTableStyleInfo name="PivotStyleDark7"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rowHeaderCaption="Country">
  <location ref="F76:H84"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87">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5"/>
        <item x="4"/>
        <item x="2"/>
        <item x="10"/>
        <item x="7"/>
        <item x="6"/>
        <item x="9"/>
        <item x="1"/>
        <item x="8"/>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2"/>
    <field x="4"/>
  </rowFields>
  <rowItems count="8">
    <i>
      <x v="23"/>
      <x v="10"/>
    </i>
    <i>
      <x v="41"/>
      <x v="10"/>
    </i>
    <i>
      <x v="9"/>
      <x v="7"/>
    </i>
    <i r="1">
      <x v="10"/>
    </i>
    <i>
      <x v="7"/>
      <x v="5"/>
    </i>
    <i r="1">
      <x v="7"/>
    </i>
    <i r="1">
      <x v="9"/>
    </i>
    <i>
      <x v="14"/>
      <x v="10"/>
    </i>
  </rowItems>
  <colItems count="1">
    <i/>
  </colItems>
  <dataFields count="1">
    <dataField name="Sum of Revenue" fld="10" baseField="0" baseItem="0" numFmtId="6"/>
  </dataFields>
  <formats count="1">
    <format dxfId="21">
      <pivotArea outline="0" collapsedLevelsAreSubtotals="1" fieldPosition="0"/>
    </format>
  </formats>
  <pivotTableStyleInfo name="PivotStyleLight16" showRowHeaders="1" showColHeaders="1" showRowStripes="1"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7.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Country">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22">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Distributor">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numFmtId="166"/>
  </dataFields>
  <formats count="1">
    <format dxfId="23">
      <pivotArea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1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numFmtId="44"/>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50:G64"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7"/>
    </i>
    <i r="1">
      <x v="10"/>
    </i>
    <i>
      <x v="7"/>
    </i>
    <i r="1">
      <x v="5"/>
    </i>
    <i r="1">
      <x v="7"/>
    </i>
    <i r="1">
      <x v="9"/>
    </i>
    <i>
      <x v="14"/>
    </i>
    <i r="1">
      <x v="10"/>
    </i>
    <i t="grand">
      <x/>
    </i>
  </rowItems>
  <colItems count="1">
    <i/>
  </colItems>
  <dataFields count="1">
    <dataField name="Sum of Revenue" fld="10" baseField="0" baseItem="0"/>
  </dataFields>
  <formats count="1">
    <format dxfId="18">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ascending">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i>
    <i r="1">
      <x/>
    </i>
    <i r="1">
      <x v="5"/>
    </i>
    <i r="1">
      <x v="7"/>
    </i>
    <i r="1">
      <x v="10"/>
    </i>
    <i>
      <x v="1"/>
    </i>
    <i r="1">
      <x v="2"/>
    </i>
    <i r="1">
      <x v="3"/>
    </i>
    <i r="1">
      <x v="4"/>
    </i>
    <i r="1">
      <x v="10"/>
    </i>
    <i>
      <x v="2"/>
    </i>
    <i r="1">
      <x v="2"/>
    </i>
    <i r="1">
      <x v="5"/>
    </i>
    <i r="1">
      <x v="7"/>
    </i>
    <i r="1">
      <x v="8"/>
    </i>
    <i t="grand">
      <x/>
    </i>
  </rowItems>
  <colItems count="1">
    <i/>
  </colItems>
  <dataFields count="1">
    <dataField name="Sum of Quantity" fld="8" baseField="0" baseItem="0" numFmtId="167"/>
  </dataFields>
  <formats count="1">
    <format dxfId="19">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i>
    <i r="1">
      <x v="5"/>
    </i>
    <i r="1">
      <x v="8"/>
    </i>
    <i r="1">
      <x v="7"/>
    </i>
    <i r="1">
      <x v="2"/>
    </i>
    <i>
      <x v="2"/>
    </i>
    <i r="1">
      <x v="5"/>
    </i>
    <i r="1">
      <x v="10"/>
    </i>
    <i r="1">
      <x v="7"/>
    </i>
    <i r="1">
      <x/>
    </i>
    <i t="grand">
      <x/>
    </i>
  </rowItems>
  <colItems count="1">
    <i/>
  </colItems>
  <dataFields count="1">
    <dataField name="Sum of Quantity" fld="8" baseField="0" baseItem="0" numFmtId="167"/>
  </dataFields>
  <formats count="1">
    <format dxfId="14">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51:G65"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0" baseItem="0" numFmtId="6"/>
  </dataFields>
  <formats count="1">
    <format dxfId="15">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2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49"/>
    </i>
    <i>
      <x v="73"/>
    </i>
    <i>
      <x v="104"/>
    </i>
    <i t="grand">
      <x/>
    </i>
  </rowItems>
  <colItems count="1">
    <i/>
  </colItems>
  <pageFields count="1">
    <pageField fld="2" item="59" hier="-1"/>
  </pageFields>
  <dataFields count="1">
    <dataField name="Sum of Revenue" fld="10" baseField="0" baseItem="0" numFmtId="44"/>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27"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44:G132"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0" baseItem="0" numFmtId="8"/>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2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20"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1">
    <i>
      <x v="2"/>
    </i>
    <i>
      <x v="10"/>
    </i>
    <i>
      <x v="5"/>
    </i>
    <i>
      <x v="4"/>
    </i>
    <i>
      <x v="9"/>
    </i>
    <i>
      <x v="3"/>
    </i>
    <i>
      <x v="7"/>
    </i>
    <i>
      <x/>
    </i>
    <i>
      <x v="1"/>
    </i>
    <i>
      <x v="8"/>
    </i>
    <i t="grand">
      <x/>
    </i>
  </rowItems>
  <colItems count="1">
    <i/>
  </colItems>
  <dataFields count="1">
    <dataField name="Sum of Quantity" fld="8" baseField="0" baseItem="0" numFmtId="167"/>
  </dataFields>
  <formats count="1">
    <format dxfId="12">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2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6:G38"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2">
    <i>
      <x v="2"/>
    </i>
    <i>
      <x v="10"/>
    </i>
    <i>
      <x v="5"/>
    </i>
    <i>
      <x v="4"/>
    </i>
    <i>
      <x v="9"/>
    </i>
    <i>
      <x v="3"/>
    </i>
    <i>
      <x v="7"/>
    </i>
    <i>
      <x/>
    </i>
    <i>
      <x v="1"/>
    </i>
    <i>
      <x v="8"/>
    </i>
    <i>
      <x v="6"/>
    </i>
    <i t="grand">
      <x/>
    </i>
  </rowItems>
  <colItems count="1">
    <i/>
  </colItems>
  <dataFields count="1">
    <dataField name="Sum of Quantity" fld="8" baseField="0" baseItem="0" numFmtId="167"/>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1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67"/>
  </dataFields>
  <formats count="1">
    <format dxfId="8">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42:G5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8"/>
  </dataFields>
  <formats count="1">
    <format dxfId="9">
      <pivotArea outline="0" collapsedLevelsAreSubtotals="1" fieldPosition="0"/>
    </format>
  </formats>
  <pivotTableStyleInfo name="PivotStyleLight16" showRowHeaders="1" showColHeaders="1" showRowStripes="0" showColStripes="0" showLastColumn="1"/>
  <filters count="1">
    <filter fld="2" type="valueBetween" evalOrder="-1" id="3"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2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9:G32"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67"/>
  </dataFields>
  <formats count="1">
    <format dxfId="10">
      <pivotArea outline="0" collapsedLevelsAreSubtotals="1" fieldPosition="0"/>
    </format>
  </formats>
  <pivotTableStyleInfo name="PivotStyleLight16" showRowHeaders="1" showColHeaders="1" showRowStripes="0" showColStripes="0" showLastColumn="1"/>
  <filters count="1">
    <filter fld="4" type="captionContains" evalOrder="-1" id="5" stringValue1="200">
      <autoFilter ref="A1">
        <filterColumn colId="0">
          <customFilters>
            <customFilter val="*2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27"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6:G114"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0" baseItem="0" numFmtId="8"/>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20"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1">
    <i>
      <x v="2"/>
    </i>
    <i>
      <x v="10"/>
    </i>
    <i>
      <x v="5"/>
    </i>
    <i>
      <x v="4"/>
    </i>
    <i>
      <x v="9"/>
    </i>
    <i>
      <x v="3"/>
    </i>
    <i>
      <x v="7"/>
    </i>
    <i>
      <x/>
    </i>
    <i>
      <x v="1"/>
    </i>
    <i>
      <x v="8"/>
    </i>
    <i t="grand">
      <x/>
    </i>
  </rowItems>
  <colItems count="1">
    <i/>
  </colItems>
  <dataFields count="1">
    <dataField name="Sum of Quantity" fld="8" baseField="0" baseItem="0" numFmtId="167"/>
  </dataFields>
  <formats count="1">
    <format dxfId="7">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8:L118" firstHeaderRow="1" firstDataRow="3"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2">
    <field x="5"/>
    <field x="-2"/>
  </colFields>
  <colItems count="6">
    <i>
      <x/>
      <x/>
    </i>
    <i r="1" i="1">
      <x v="1"/>
    </i>
    <i>
      <x v="1"/>
      <x/>
    </i>
    <i r="1" i="1">
      <x v="1"/>
    </i>
    <i>
      <x v="2"/>
      <x/>
    </i>
    <i r="1" i="1">
      <x v="1"/>
    </i>
  </colItems>
  <dataFields count="2">
    <dataField name="Sum of Revenue" fld="10" baseField="0" baseItem="0" numFmtId="8"/>
    <dataField name="Sum of Cost" fld="12" baseField="0" baseItem="0" numFmtId="166"/>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N23" firstHeaderRow="1" firstDataRow="3" firstDataCol="1"/>
  <pivotFields count="13">
    <pivotField showAll="0"/>
    <pivotField showAll="0"/>
    <pivotField showAll="0"/>
    <pivotField showAll="0"/>
    <pivotField axis="axisRow" showAll="0">
      <items count="12">
        <item x="5"/>
        <item x="4"/>
        <item x="2"/>
        <item x="10"/>
        <item x="7"/>
        <item x="6"/>
        <item x="9"/>
        <item x="1"/>
        <item x="8"/>
        <item x="3"/>
        <item x="0"/>
        <item t="default"/>
      </items>
    </pivotField>
    <pivotField axis="axisCol" showAll="0">
      <items count="4">
        <item x="1"/>
        <item x="0"/>
        <item x="2"/>
        <item t="default"/>
      </items>
    </pivotField>
    <pivotField numFmtId="14" showAll="0"/>
    <pivotField numFmtId="1" showAll="0"/>
    <pivotField numFmtId="3" showAll="0"/>
    <pivotField numFmtId="8" showAll="0"/>
    <pivotField dataField="1" numFmtId="166" showAll="0"/>
    <pivotField dataField="1"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2">
    <field x="5"/>
    <field x="-2"/>
  </colFields>
  <colItems count="8">
    <i>
      <x/>
      <x/>
    </i>
    <i r="1" i="1">
      <x v="1"/>
    </i>
    <i>
      <x v="1"/>
      <x/>
    </i>
    <i r="1" i="1">
      <x v="1"/>
    </i>
    <i>
      <x v="2"/>
      <x/>
    </i>
    <i r="1" i="1">
      <x v="1"/>
    </i>
    <i t="grand">
      <x/>
    </i>
    <i t="grand" i="1">
      <x/>
    </i>
  </colItems>
  <dataFields count="2">
    <dataField name="Sum of Revenue" fld="10" baseField="0" baseItem="0" numFmtId="164"/>
    <dataField name="Sum of Tax" fld="11" baseField="0" baseItem="0" numFmtId="166"/>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27"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6:G114"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0" baseItem="0" numFmtId="8"/>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2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20"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1">
    <i>
      <x v="2"/>
    </i>
    <i>
      <x v="10"/>
    </i>
    <i>
      <x v="5"/>
    </i>
    <i>
      <x v="4"/>
    </i>
    <i>
      <x v="9"/>
    </i>
    <i>
      <x v="3"/>
    </i>
    <i>
      <x v="7"/>
    </i>
    <i>
      <x/>
    </i>
    <i>
      <x v="1"/>
    </i>
    <i>
      <x v="8"/>
    </i>
    <i t="grand">
      <x/>
    </i>
  </rowItems>
  <colItems count="1">
    <i/>
  </colItems>
  <dataFields count="1">
    <dataField name="Sum of Quantity" fld="8" baseField="0" baseItem="0" numFmtId="167"/>
  </dataFields>
  <formats count="1">
    <format dxfId="3">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12" firstHeaderRow="1" firstDataRow="1" firstDataCol="1"/>
  <pivotFields count="13">
    <pivotField showAll="0"/>
    <pivotField showAll="0"/>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4"/>
  </rowFields>
  <rowItems count="3">
    <i>
      <x v="2"/>
    </i>
    <i>
      <x v="10"/>
    </i>
    <i t="grand">
      <x/>
    </i>
  </rowItems>
  <colItems count="1">
    <i/>
  </colItems>
  <dataFields count="1">
    <dataField name="Sum of Revenue" fld="10"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8:G111"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dataFields count="1">
    <dataField name="Sum of Revenue" fld="10" baseField="0" baseItem="0" numFmtId="8"/>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34" name="PivotTable20"/>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les_Channel" sourceName="Sales Channel">
  <pivotTables>
    <pivotTable tabId="34" name="PivotTable22"/>
  </pivotTables>
  <data>
    <tabular pivotCacheId="1">
      <items count="3">
        <i x="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 cache="Slicer_Country" caption="Country" rowHeight="196850"/>
  <slicer name="Sales Channel" cache="Slicer_Sales_Channel" caption="Sales Channel" rowHeight="196850"/>
</slicers>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pivotTable" Target="../pivotTables/pivotTable4.xml"/><Relationship Id="rId16" Type="http://schemas.openxmlformats.org/officeDocument/2006/relationships/ctrlProp" Target="../ctrlProps/ctrlProp17.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vmlDrawing" Target="../drawings/vmlDrawing4.vml"/><Relationship Id="rId5" Type="http://schemas.openxmlformats.org/officeDocument/2006/relationships/pivotTable" Target="../pivotTables/pivotTable7.xml"/><Relationship Id="rId15" Type="http://schemas.openxmlformats.org/officeDocument/2006/relationships/ctrlProp" Target="../ctrlProps/ctrlProp16.xml"/><Relationship Id="rId10" Type="http://schemas.openxmlformats.org/officeDocument/2006/relationships/drawing" Target="../drawings/drawing4.xml"/><Relationship Id="rId19" Type="http://schemas.openxmlformats.org/officeDocument/2006/relationships/ctrlProp" Target="../ctrlProps/ctrlProp20.xml"/><Relationship Id="rId4" Type="http://schemas.openxmlformats.org/officeDocument/2006/relationships/pivotTable" Target="../pivotTables/pivotTable6.xml"/><Relationship Id="rId9" Type="http://schemas.openxmlformats.org/officeDocument/2006/relationships/printerSettings" Target="../printerSettings/printerSettings7.bin"/><Relationship Id="rId1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ivotTable" Target="../pivotTables/pivotTable13.xml"/><Relationship Id="rId7" Type="http://schemas.openxmlformats.org/officeDocument/2006/relationships/vmlDrawing" Target="../drawings/vmlDrawing5.v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drawing" Target="../drawings/drawing5.xml"/><Relationship Id="rId11" Type="http://schemas.openxmlformats.org/officeDocument/2006/relationships/ctrlProp" Target="../ctrlProps/ctrlProp24.xml"/><Relationship Id="rId5" Type="http://schemas.openxmlformats.org/officeDocument/2006/relationships/printerSettings" Target="../printerSettings/printerSettings8.bin"/><Relationship Id="rId10" Type="http://schemas.openxmlformats.org/officeDocument/2006/relationships/ctrlProp" Target="../ctrlProps/ctrlProp23.xml"/><Relationship Id="rId4" Type="http://schemas.openxmlformats.org/officeDocument/2006/relationships/pivotTable" Target="../pivotTables/pivotTable14.xml"/><Relationship Id="rId9"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pivotTable" Target="../pivotTables/pivotTable17.xml"/><Relationship Id="rId7" Type="http://schemas.openxmlformats.org/officeDocument/2006/relationships/vmlDrawing" Target="../drawings/vmlDrawing6.v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drawing" Target="../drawings/drawing6.xml"/><Relationship Id="rId11" Type="http://schemas.openxmlformats.org/officeDocument/2006/relationships/ctrlProp" Target="../ctrlProps/ctrlProp28.xml"/><Relationship Id="rId5" Type="http://schemas.openxmlformats.org/officeDocument/2006/relationships/printerSettings" Target="../printerSettings/printerSettings9.bin"/><Relationship Id="rId10" Type="http://schemas.openxmlformats.org/officeDocument/2006/relationships/ctrlProp" Target="../ctrlProps/ctrlProp27.xml"/><Relationship Id="rId4" Type="http://schemas.openxmlformats.org/officeDocument/2006/relationships/pivotTable" Target="../pivotTables/pivotTable18.xml"/><Relationship Id="rId9"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pivotTable" Target="../pivotTables/pivotTable21.xml"/><Relationship Id="rId7" Type="http://schemas.openxmlformats.org/officeDocument/2006/relationships/ctrlProp" Target="../ctrlProps/ctrlProp29.xml"/><Relationship Id="rId2" Type="http://schemas.openxmlformats.org/officeDocument/2006/relationships/pivotTable" Target="../pivotTables/pivotTable20.xml"/><Relationship Id="rId1" Type="http://schemas.openxmlformats.org/officeDocument/2006/relationships/pivotTable" Target="../pivotTables/pivotTable19.xml"/><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10.bin"/><Relationship Id="rId9"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ivotTable" Target="../pivotTables/pivotTable24.xml"/><Relationship Id="rId7" Type="http://schemas.openxmlformats.org/officeDocument/2006/relationships/ctrlProp" Target="../ctrlProps/ctrlProp32.x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1.bin"/><Relationship Id="rId9"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ivotTable" Target="../pivotTables/pivotTable27.xml"/><Relationship Id="rId7" Type="http://schemas.openxmlformats.org/officeDocument/2006/relationships/ctrlProp" Target="../ctrlProps/ctrlProp35.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vmlDrawing" Target="../drawings/vmlDrawing9.vml"/><Relationship Id="rId11" Type="http://schemas.openxmlformats.org/officeDocument/2006/relationships/ctrlProp" Target="../ctrlProps/ctrlProp39.xml"/><Relationship Id="rId5" Type="http://schemas.openxmlformats.org/officeDocument/2006/relationships/drawing" Target="../drawings/drawing9.xml"/><Relationship Id="rId10" Type="http://schemas.openxmlformats.org/officeDocument/2006/relationships/ctrlProp" Target="../ctrlProps/ctrlProp38.xml"/><Relationship Id="rId4" Type="http://schemas.openxmlformats.org/officeDocument/2006/relationships/printerSettings" Target="../printerSettings/printerSettings12.bin"/><Relationship Id="rId9" Type="http://schemas.openxmlformats.org/officeDocument/2006/relationships/ctrlProp" Target="../ctrlProps/ctrlProp3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pivotTable" Target="../pivotTables/pivotTable30.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vmlDrawing" Target="../drawings/vmlDrawing10.vml"/><Relationship Id="rId11" Type="http://schemas.openxmlformats.org/officeDocument/2006/relationships/ctrlProp" Target="../ctrlProps/ctrlProp44.xml"/><Relationship Id="rId5" Type="http://schemas.openxmlformats.org/officeDocument/2006/relationships/drawing" Target="../drawings/drawing10.xml"/><Relationship Id="rId10" Type="http://schemas.openxmlformats.org/officeDocument/2006/relationships/ctrlProp" Target="../ctrlProps/ctrlProp43.xml"/><Relationship Id="rId4" Type="http://schemas.openxmlformats.org/officeDocument/2006/relationships/printerSettings" Target="../printerSettings/printerSettings13.bin"/><Relationship Id="rId9"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48.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ctrlProp" Target="../ctrlProps/ctrlProp47.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50.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ctrlProp" Target="../ctrlProps/ctrlProp49.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7" Type="http://schemas.openxmlformats.org/officeDocument/2006/relationships/ctrlProp" Target="../ctrlProps/ctrlProp52.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ctrlProp" Target="../ctrlProps/ctrlProp51.xml"/><Relationship Id="rId5" Type="http://schemas.openxmlformats.org/officeDocument/2006/relationships/vmlDrawing" Target="../drawings/vmlDrawing13.vml"/><Relationship Id="rId4"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7.bin"/><Relationship Id="rId7" Type="http://schemas.openxmlformats.org/officeDocument/2006/relationships/ctrlProp" Target="../ctrlProps/ctrlProp54.xml"/><Relationship Id="rId2" Type="http://schemas.openxmlformats.org/officeDocument/2006/relationships/pivotTable" Target="../pivotTables/pivotTable38.xml"/><Relationship Id="rId1" Type="http://schemas.openxmlformats.org/officeDocument/2006/relationships/pivotTable" Target="../pivotTables/pivotTable37.xml"/><Relationship Id="rId6" Type="http://schemas.openxmlformats.org/officeDocument/2006/relationships/ctrlProp" Target="../ctrlProps/ctrlProp53.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tabSelected="1" workbookViewId="0">
      <selection activeCell="F1" sqref="F1"/>
    </sheetView>
  </sheetViews>
  <sheetFormatPr defaultColWidth="9" defaultRowHeight="12" x14ac:dyDescent="0.3"/>
  <sheetData>
    <row r="1" spans="1:1" ht="18.5" x14ac:dyDescent="0.45">
      <c r="A1" s="1" t="s">
        <v>315</v>
      </c>
    </row>
    <row r="2" spans="1:1" ht="18.5" x14ac:dyDescent="0.45">
      <c r="A2" s="1" t="s">
        <v>316</v>
      </c>
    </row>
    <row r="3" spans="1:1" ht="18.5" x14ac:dyDescent="0.45">
      <c r="A3" s="1" t="s">
        <v>317</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
  <sheetViews>
    <sheetView showGridLines="0" zoomScale="130" zoomScaleNormal="130" zoomScalePageLayoutView="130" workbookViewId="0"/>
  </sheetViews>
  <sheetFormatPr defaultColWidth="9.33203125" defaultRowHeight="12.5" x14ac:dyDescent="0.25"/>
  <cols>
    <col min="1" max="1" width="9.33203125" style="2"/>
    <col min="2" max="2" width="10.77734375" style="2" bestFit="1" customWidth="1"/>
    <col min="3" max="3" width="34.33203125" style="2" customWidth="1"/>
    <col min="4" max="4" width="29" style="2" bestFit="1" customWidth="1"/>
    <col min="5" max="5" width="40.6640625" style="2" customWidth="1"/>
    <col min="6" max="16384" width="9.33203125" style="2"/>
  </cols>
  <sheetData>
    <row r="1" spans="1:5" ht="13" x14ac:dyDescent="0.3">
      <c r="A1" s="3" t="str">
        <f>Introduction!A1</f>
        <v>Problem Solving with Excel</v>
      </c>
    </row>
    <row r="2" spans="1:5" ht="13" x14ac:dyDescent="0.3">
      <c r="A2" s="3" t="str">
        <f>Introduction!A2</f>
        <v>Week 3</v>
      </c>
    </row>
    <row r="3" spans="1:5" ht="13" x14ac:dyDescent="0.3">
      <c r="A3" s="3" t="str">
        <f>Introduction!A3</f>
        <v>Pivot Tables</v>
      </c>
    </row>
    <row r="4" spans="1:5" ht="13" x14ac:dyDescent="0.3">
      <c r="A4" s="3" t="s">
        <v>0</v>
      </c>
    </row>
    <row r="7" spans="1:5" ht="13.5" thickBot="1" x14ac:dyDescent="0.35">
      <c r="B7" s="4" t="s">
        <v>1</v>
      </c>
      <c r="C7" s="4" t="s">
        <v>2</v>
      </c>
      <c r="D7" s="4" t="s">
        <v>3</v>
      </c>
      <c r="E7" s="4" t="s">
        <v>4</v>
      </c>
    </row>
    <row r="8" spans="1:5" x14ac:dyDescent="0.25">
      <c r="B8" s="2">
        <v>1</v>
      </c>
      <c r="C8" s="2" t="s">
        <v>226</v>
      </c>
      <c r="D8" s="2" t="s">
        <v>224</v>
      </c>
      <c r="E8" s="2" t="s">
        <v>225</v>
      </c>
    </row>
    <row r="9" spans="1:5" x14ac:dyDescent="0.25">
      <c r="B9" s="2">
        <v>2</v>
      </c>
      <c r="C9" s="2" t="s">
        <v>227</v>
      </c>
      <c r="D9" s="2" t="s">
        <v>224</v>
      </c>
      <c r="E9" s="2" t="s">
        <v>225</v>
      </c>
    </row>
    <row r="10" spans="1:5" hidden="1" x14ac:dyDescent="0.25">
      <c r="B10" s="2">
        <v>3</v>
      </c>
      <c r="C10" s="2" t="s">
        <v>247</v>
      </c>
      <c r="D10" s="2" t="s">
        <v>224</v>
      </c>
      <c r="E10" s="2" t="s">
        <v>225</v>
      </c>
    </row>
    <row r="11" spans="1:5" x14ac:dyDescent="0.25">
      <c r="B11" s="2">
        <v>4</v>
      </c>
      <c r="C11" s="2" t="s">
        <v>228</v>
      </c>
      <c r="D11" s="2" t="s">
        <v>224</v>
      </c>
      <c r="E11" s="2" t="s">
        <v>225</v>
      </c>
    </row>
    <row r="12" spans="1:5" x14ac:dyDescent="0.25">
      <c r="B12" s="2">
        <v>5</v>
      </c>
      <c r="C12" s="2" t="s">
        <v>229</v>
      </c>
      <c r="D12" s="2" t="s">
        <v>224</v>
      </c>
      <c r="E12" s="2" t="s">
        <v>225</v>
      </c>
    </row>
    <row r="13" spans="1:5" x14ac:dyDescent="0.25">
      <c r="B13" s="2">
        <v>6</v>
      </c>
      <c r="C13" s="2" t="s">
        <v>230</v>
      </c>
      <c r="D13" s="2" t="s">
        <v>224</v>
      </c>
      <c r="E13" s="2" t="s">
        <v>225</v>
      </c>
    </row>
    <row r="14" spans="1:5" x14ac:dyDescent="0.25">
      <c r="B14" s="2">
        <v>7</v>
      </c>
      <c r="C14" s="2" t="s">
        <v>231</v>
      </c>
      <c r="D14" s="2" t="s">
        <v>224</v>
      </c>
      <c r="E14" s="2" t="s">
        <v>225</v>
      </c>
    </row>
  </sheetData>
  <sortState ref="D16:E28">
    <sortCondition ref="D16"/>
  </sortState>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N111"/>
  <sheetViews>
    <sheetView showGridLines="0" zoomScale="75" zoomScaleNormal="75" zoomScalePageLayoutView="75" workbookViewId="0">
      <pane xSplit="2" ySplit="3" topLeftCell="C4" activePane="bottomRight" state="frozen"/>
      <selection activeCell="A4" sqref="A4"/>
      <selection pane="topRight" activeCell="A4" sqref="A4"/>
      <selection pane="bottomLeft" activeCell="A4" sqref="A4"/>
      <selection pane="bottomRight" activeCell="C1" sqref="C1"/>
    </sheetView>
  </sheetViews>
  <sheetFormatPr defaultColWidth="12.77734375" defaultRowHeight="12.5" x14ac:dyDescent="0.25"/>
  <cols>
    <col min="1" max="2" width="3.6640625" style="8" customWidth="1"/>
    <col min="3" max="3" width="21.33203125" style="8" customWidth="1"/>
    <col min="4" max="4" width="28.109375" style="8" customWidth="1"/>
    <col min="5" max="5" width="48.33203125" style="8" customWidth="1"/>
    <col min="6" max="6" width="18.109375" style="8" customWidth="1"/>
    <col min="7" max="7" width="41.33203125" style="8" customWidth="1"/>
    <col min="8" max="8" width="22.33203125" style="8" customWidth="1"/>
    <col min="9" max="9" width="16.33203125" style="8" customWidth="1"/>
    <col min="10" max="10" width="19.33203125" style="8" customWidth="1"/>
    <col min="11" max="11" width="17.6640625" style="8" customWidth="1"/>
    <col min="12" max="12" width="18" style="8" customWidth="1"/>
    <col min="13" max="13" width="17.33203125" style="8" customWidth="1"/>
    <col min="14" max="16384" width="12.77734375" style="8"/>
  </cols>
  <sheetData>
    <row r="1" spans="1:14" s="16" customFormat="1" ht="13" x14ac:dyDescent="0.3">
      <c r="A1" s="11"/>
      <c r="B1" s="12"/>
      <c r="C1" s="13"/>
      <c r="D1" s="14"/>
      <c r="E1" s="15"/>
      <c r="F1" s="15"/>
      <c r="G1" s="15"/>
      <c r="J1" s="17"/>
      <c r="K1" s="18"/>
      <c r="M1" s="17"/>
    </row>
    <row r="2" spans="1:14" ht="13" x14ac:dyDescent="0.3">
      <c r="A2" s="10"/>
      <c r="B2" s="7"/>
      <c r="C2" s="19"/>
      <c r="D2" s="20"/>
      <c r="E2" s="21"/>
      <c r="F2" s="21"/>
      <c r="G2" s="21"/>
      <c r="K2" s="22"/>
      <c r="M2" s="23"/>
    </row>
    <row r="3" spans="1:14" s="30" customFormat="1" ht="13" x14ac:dyDescent="0.3">
      <c r="A3" s="8"/>
      <c r="B3" s="24"/>
      <c r="C3" s="25" t="s">
        <v>6</v>
      </c>
      <c r="D3" s="25" t="s">
        <v>7</v>
      </c>
      <c r="E3" s="25" t="s">
        <v>8</v>
      </c>
      <c r="F3" s="25" t="s">
        <v>9</v>
      </c>
      <c r="G3" s="25" t="s">
        <v>10</v>
      </c>
      <c r="H3" s="26" t="s">
        <v>11</v>
      </c>
      <c r="I3" s="26" t="s">
        <v>12</v>
      </c>
      <c r="J3" s="27" t="s">
        <v>13</v>
      </c>
      <c r="K3" s="28" t="s">
        <v>14</v>
      </c>
      <c r="L3" s="29" t="s">
        <v>15</v>
      </c>
      <c r="M3" s="29" t="s">
        <v>5</v>
      </c>
      <c r="N3" s="8"/>
    </row>
    <row r="4" spans="1:14" s="30" customFormat="1" x14ac:dyDescent="0.25">
      <c r="A4" s="8"/>
      <c r="B4" s="9"/>
      <c r="C4" s="31">
        <v>23345</v>
      </c>
      <c r="D4" s="31" t="s">
        <v>16</v>
      </c>
      <c r="E4" s="31" t="s">
        <v>17</v>
      </c>
      <c r="F4" s="31" t="s">
        <v>18</v>
      </c>
      <c r="G4" s="32" t="s">
        <v>245</v>
      </c>
      <c r="H4" s="31" t="s">
        <v>19</v>
      </c>
      <c r="I4" s="33">
        <v>41150</v>
      </c>
      <c r="J4" s="34">
        <f t="shared" ref="J4:J67" si="0">VALUE(MONTH(I4))</f>
        <v>8</v>
      </c>
      <c r="K4" s="35">
        <v>208</v>
      </c>
      <c r="L4" s="36">
        <v>14.5</v>
      </c>
      <c r="M4" s="37">
        <f t="shared" ref="M4:M67" si="1">L4*K4</f>
        <v>3016</v>
      </c>
    </row>
    <row r="5" spans="1:14" s="30" customFormat="1" x14ac:dyDescent="0.25">
      <c r="B5" s="9"/>
      <c r="C5" s="31">
        <v>23278</v>
      </c>
      <c r="D5" s="31" t="s">
        <v>20</v>
      </c>
      <c r="E5" s="31" t="s">
        <v>21</v>
      </c>
      <c r="F5" s="31" t="s">
        <v>18</v>
      </c>
      <c r="G5" s="32" t="s">
        <v>245</v>
      </c>
      <c r="H5" s="31" t="s">
        <v>22</v>
      </c>
      <c r="I5" s="33">
        <v>41145</v>
      </c>
      <c r="J5" s="34">
        <f t="shared" si="0"/>
        <v>8</v>
      </c>
      <c r="K5" s="35">
        <v>197</v>
      </c>
      <c r="L5" s="36">
        <v>14.5</v>
      </c>
      <c r="M5" s="37">
        <f t="shared" si="1"/>
        <v>2856.5</v>
      </c>
    </row>
    <row r="6" spans="1:14" s="30" customFormat="1" x14ac:dyDescent="0.25">
      <c r="B6" s="9"/>
      <c r="C6" s="31">
        <v>23303</v>
      </c>
      <c r="D6" s="31" t="s">
        <v>23</v>
      </c>
      <c r="E6" s="38" t="s">
        <v>24</v>
      </c>
      <c r="F6" s="38" t="s">
        <v>18</v>
      </c>
      <c r="G6" s="39" t="s">
        <v>245</v>
      </c>
      <c r="H6" s="31" t="s">
        <v>25</v>
      </c>
      <c r="I6" s="33">
        <v>41138</v>
      </c>
      <c r="J6" s="34">
        <f t="shared" si="0"/>
        <v>8</v>
      </c>
      <c r="K6" s="35">
        <v>176</v>
      </c>
      <c r="L6" s="36">
        <v>14.5</v>
      </c>
      <c r="M6" s="37">
        <f t="shared" si="1"/>
        <v>2552</v>
      </c>
    </row>
    <row r="7" spans="1:14" s="30" customFormat="1" x14ac:dyDescent="0.25">
      <c r="B7" s="9"/>
      <c r="C7" s="40">
        <v>23353</v>
      </c>
      <c r="D7" s="40" t="s">
        <v>26</v>
      </c>
      <c r="E7" s="41" t="s">
        <v>27</v>
      </c>
      <c r="F7" s="41" t="s">
        <v>18</v>
      </c>
      <c r="G7" s="42" t="s">
        <v>245</v>
      </c>
      <c r="H7" s="31" t="s">
        <v>22</v>
      </c>
      <c r="I7" s="33">
        <v>41070</v>
      </c>
      <c r="J7" s="34">
        <f t="shared" si="0"/>
        <v>6</v>
      </c>
      <c r="K7" s="35">
        <v>168</v>
      </c>
      <c r="L7" s="36">
        <v>14.5</v>
      </c>
      <c r="M7" s="37">
        <f t="shared" si="1"/>
        <v>2436</v>
      </c>
    </row>
    <row r="8" spans="1:14" s="30" customFormat="1" x14ac:dyDescent="0.25">
      <c r="B8" s="9"/>
      <c r="C8" s="31">
        <v>23289</v>
      </c>
      <c r="D8" s="31" t="s">
        <v>28</v>
      </c>
      <c r="E8" s="38" t="s">
        <v>29</v>
      </c>
      <c r="F8" s="38" t="s">
        <v>18</v>
      </c>
      <c r="G8" s="39" t="s">
        <v>245</v>
      </c>
      <c r="H8" s="31" t="s">
        <v>25</v>
      </c>
      <c r="I8" s="33">
        <v>41123</v>
      </c>
      <c r="J8" s="34">
        <f t="shared" si="0"/>
        <v>8</v>
      </c>
      <c r="K8" s="35">
        <v>166</v>
      </c>
      <c r="L8" s="36">
        <v>14.5</v>
      </c>
      <c r="M8" s="37">
        <f t="shared" si="1"/>
        <v>2407</v>
      </c>
    </row>
    <row r="9" spans="1:14" s="30" customFormat="1" x14ac:dyDescent="0.25">
      <c r="B9" s="9"/>
      <c r="C9" s="31">
        <v>23378</v>
      </c>
      <c r="D9" s="31" t="s">
        <v>30</v>
      </c>
      <c r="E9" s="38" t="s">
        <v>31</v>
      </c>
      <c r="F9" s="38" t="s">
        <v>18</v>
      </c>
      <c r="G9" s="39" t="s">
        <v>245</v>
      </c>
      <c r="H9" s="31" t="s">
        <v>19</v>
      </c>
      <c r="I9" s="33">
        <v>41078</v>
      </c>
      <c r="J9" s="34">
        <f t="shared" si="0"/>
        <v>6</v>
      </c>
      <c r="K9" s="35">
        <v>157</v>
      </c>
      <c r="L9" s="36">
        <v>14.5</v>
      </c>
      <c r="M9" s="37">
        <f t="shared" si="1"/>
        <v>2276.5</v>
      </c>
    </row>
    <row r="10" spans="1:14" s="30" customFormat="1" x14ac:dyDescent="0.25">
      <c r="B10" s="9"/>
      <c r="C10" s="31">
        <v>23283</v>
      </c>
      <c r="D10" s="31" t="s">
        <v>32</v>
      </c>
      <c r="E10" s="38" t="s">
        <v>33</v>
      </c>
      <c r="F10" s="38" t="s">
        <v>18</v>
      </c>
      <c r="G10" s="39" t="s">
        <v>245</v>
      </c>
      <c r="H10" s="31" t="s">
        <v>19</v>
      </c>
      <c r="I10" s="33">
        <v>41084</v>
      </c>
      <c r="J10" s="34">
        <f t="shared" si="0"/>
        <v>6</v>
      </c>
      <c r="K10" s="35">
        <v>142</v>
      </c>
      <c r="L10" s="36">
        <v>14.5</v>
      </c>
      <c r="M10" s="37">
        <f t="shared" si="1"/>
        <v>2059</v>
      </c>
    </row>
    <row r="11" spans="1:14" s="30" customFormat="1" x14ac:dyDescent="0.25">
      <c r="B11" s="9"/>
      <c r="C11" s="43">
        <v>23324</v>
      </c>
      <c r="D11" s="43" t="s">
        <v>34</v>
      </c>
      <c r="E11" s="43" t="s">
        <v>35</v>
      </c>
      <c r="F11" s="43" t="s">
        <v>36</v>
      </c>
      <c r="G11" s="44" t="s">
        <v>242</v>
      </c>
      <c r="H11" s="31" t="s">
        <v>25</v>
      </c>
      <c r="I11" s="33">
        <v>41134</v>
      </c>
      <c r="J11" s="34">
        <f t="shared" si="0"/>
        <v>8</v>
      </c>
      <c r="K11" s="35">
        <v>193</v>
      </c>
      <c r="L11" s="36">
        <v>9.99</v>
      </c>
      <c r="M11" s="37">
        <f t="shared" si="1"/>
        <v>1928.07</v>
      </c>
    </row>
    <row r="12" spans="1:14" s="30" customFormat="1" x14ac:dyDescent="0.25">
      <c r="B12" s="9"/>
      <c r="C12" s="31">
        <v>23264</v>
      </c>
      <c r="D12" s="31" t="s">
        <v>37</v>
      </c>
      <c r="E12" s="38" t="s">
        <v>38</v>
      </c>
      <c r="F12" s="38" t="s">
        <v>39</v>
      </c>
      <c r="G12" s="39" t="s">
        <v>237</v>
      </c>
      <c r="H12" s="31" t="s">
        <v>19</v>
      </c>
      <c r="I12" s="33">
        <v>41139</v>
      </c>
      <c r="J12" s="34">
        <f t="shared" si="0"/>
        <v>8</v>
      </c>
      <c r="K12" s="35">
        <v>205</v>
      </c>
      <c r="L12" s="36">
        <v>9</v>
      </c>
      <c r="M12" s="37">
        <f t="shared" si="1"/>
        <v>1845</v>
      </c>
    </row>
    <row r="13" spans="1:14" s="30" customFormat="1" x14ac:dyDescent="0.25">
      <c r="B13" s="9"/>
      <c r="C13" s="31">
        <v>23291</v>
      </c>
      <c r="D13" s="31" t="s">
        <v>40</v>
      </c>
      <c r="E13" s="38" t="s">
        <v>41</v>
      </c>
      <c r="F13" s="38" t="s">
        <v>39</v>
      </c>
      <c r="G13" s="39" t="s">
        <v>237</v>
      </c>
      <c r="H13" s="31" t="s">
        <v>25</v>
      </c>
      <c r="I13" s="33">
        <v>41139</v>
      </c>
      <c r="J13" s="34">
        <f t="shared" si="0"/>
        <v>8</v>
      </c>
      <c r="K13" s="35">
        <v>199</v>
      </c>
      <c r="L13" s="36">
        <v>9</v>
      </c>
      <c r="M13" s="37">
        <f t="shared" si="1"/>
        <v>1791</v>
      </c>
    </row>
    <row r="14" spans="1:14" s="30" customFormat="1" x14ac:dyDescent="0.25">
      <c r="B14" s="9"/>
      <c r="C14" s="31">
        <v>23305</v>
      </c>
      <c r="D14" s="31" t="s">
        <v>42</v>
      </c>
      <c r="E14" s="31" t="s">
        <v>43</v>
      </c>
      <c r="F14" s="31" t="s">
        <v>39</v>
      </c>
      <c r="G14" s="32" t="s">
        <v>237</v>
      </c>
      <c r="H14" s="31" t="s">
        <v>19</v>
      </c>
      <c r="I14" s="33">
        <v>41147</v>
      </c>
      <c r="J14" s="34">
        <f t="shared" si="0"/>
        <v>8</v>
      </c>
      <c r="K14" s="35">
        <v>188</v>
      </c>
      <c r="L14" s="36">
        <v>9</v>
      </c>
      <c r="M14" s="37">
        <f t="shared" si="1"/>
        <v>1692</v>
      </c>
    </row>
    <row r="15" spans="1:14" s="30" customFormat="1" x14ac:dyDescent="0.25">
      <c r="B15" s="9"/>
      <c r="C15" s="31">
        <v>23350</v>
      </c>
      <c r="D15" s="31" t="s">
        <v>44</v>
      </c>
      <c r="E15" s="31" t="s">
        <v>45</v>
      </c>
      <c r="F15" s="31" t="s">
        <v>39</v>
      </c>
      <c r="G15" s="32" t="s">
        <v>237</v>
      </c>
      <c r="H15" s="31" t="s">
        <v>19</v>
      </c>
      <c r="I15" s="33">
        <v>41085</v>
      </c>
      <c r="J15" s="34">
        <f t="shared" si="0"/>
        <v>6</v>
      </c>
      <c r="K15" s="35">
        <v>188</v>
      </c>
      <c r="L15" s="36">
        <v>9</v>
      </c>
      <c r="M15" s="37">
        <f t="shared" si="1"/>
        <v>1692</v>
      </c>
    </row>
    <row r="16" spans="1:14" s="30" customFormat="1" x14ac:dyDescent="0.25">
      <c r="B16" s="9"/>
      <c r="C16" s="31">
        <v>23300</v>
      </c>
      <c r="D16" s="31" t="s">
        <v>46</v>
      </c>
      <c r="E16" s="31" t="s">
        <v>47</v>
      </c>
      <c r="F16" s="31" t="s">
        <v>36</v>
      </c>
      <c r="G16" s="32" t="s">
        <v>242</v>
      </c>
      <c r="H16" s="31" t="s">
        <v>19</v>
      </c>
      <c r="I16" s="33">
        <v>40915</v>
      </c>
      <c r="J16" s="34">
        <f t="shared" si="0"/>
        <v>1</v>
      </c>
      <c r="K16" s="35">
        <v>167</v>
      </c>
      <c r="L16" s="36">
        <v>9.99</v>
      </c>
      <c r="M16" s="37">
        <f t="shared" si="1"/>
        <v>1668.33</v>
      </c>
    </row>
    <row r="17" spans="2:13" s="30" customFormat="1" x14ac:dyDescent="0.25">
      <c r="B17" s="9"/>
      <c r="C17" s="31">
        <v>23348</v>
      </c>
      <c r="D17" s="31" t="s">
        <v>48</v>
      </c>
      <c r="E17" s="31" t="s">
        <v>49</v>
      </c>
      <c r="F17" s="31" t="s">
        <v>36</v>
      </c>
      <c r="G17" s="32" t="s">
        <v>242</v>
      </c>
      <c r="H17" s="31" t="s">
        <v>25</v>
      </c>
      <c r="I17" s="33">
        <v>41146</v>
      </c>
      <c r="J17" s="34">
        <f t="shared" si="0"/>
        <v>8</v>
      </c>
      <c r="K17" s="35">
        <v>163</v>
      </c>
      <c r="L17" s="36">
        <v>9.99</v>
      </c>
      <c r="M17" s="37">
        <f t="shared" si="1"/>
        <v>1628.3700000000001</v>
      </c>
    </row>
    <row r="18" spans="2:13" s="30" customFormat="1" x14ac:dyDescent="0.25">
      <c r="B18" s="9"/>
      <c r="C18" s="31">
        <v>23290</v>
      </c>
      <c r="D18" s="31" t="s">
        <v>50</v>
      </c>
      <c r="E18" s="31" t="s">
        <v>51</v>
      </c>
      <c r="F18" s="31" t="s">
        <v>39</v>
      </c>
      <c r="G18" s="32" t="s">
        <v>237</v>
      </c>
      <c r="H18" s="31" t="s">
        <v>19</v>
      </c>
      <c r="I18" s="33">
        <v>41132</v>
      </c>
      <c r="J18" s="34">
        <f t="shared" si="0"/>
        <v>8</v>
      </c>
      <c r="K18" s="35">
        <v>170</v>
      </c>
      <c r="L18" s="36">
        <v>9</v>
      </c>
      <c r="M18" s="37">
        <f t="shared" si="1"/>
        <v>1530</v>
      </c>
    </row>
    <row r="19" spans="2:13" s="30" customFormat="1" x14ac:dyDescent="0.25">
      <c r="B19" s="9"/>
      <c r="C19" s="31">
        <v>23328</v>
      </c>
      <c r="D19" s="31" t="s">
        <v>52</v>
      </c>
      <c r="E19" s="31" t="s">
        <v>53</v>
      </c>
      <c r="F19" s="31" t="s">
        <v>18</v>
      </c>
      <c r="G19" s="32" t="s">
        <v>245</v>
      </c>
      <c r="H19" s="31" t="s">
        <v>25</v>
      </c>
      <c r="I19" s="33">
        <v>40923</v>
      </c>
      <c r="J19" s="34">
        <f t="shared" si="0"/>
        <v>1</v>
      </c>
      <c r="K19" s="35">
        <v>102</v>
      </c>
      <c r="L19" s="36">
        <v>14.5</v>
      </c>
      <c r="M19" s="37">
        <f t="shared" si="1"/>
        <v>1479</v>
      </c>
    </row>
    <row r="20" spans="2:13" s="30" customFormat="1" x14ac:dyDescent="0.25">
      <c r="B20" s="9"/>
      <c r="C20" s="31">
        <v>23294</v>
      </c>
      <c r="D20" s="31" t="s">
        <v>54</v>
      </c>
      <c r="E20" s="31" t="s">
        <v>55</v>
      </c>
      <c r="F20" s="31" t="s">
        <v>39</v>
      </c>
      <c r="G20" s="32" t="s">
        <v>237</v>
      </c>
      <c r="H20" s="31" t="s">
        <v>25</v>
      </c>
      <c r="I20" s="33">
        <v>41082</v>
      </c>
      <c r="J20" s="34">
        <f t="shared" si="0"/>
        <v>6</v>
      </c>
      <c r="K20" s="35">
        <v>160</v>
      </c>
      <c r="L20" s="36">
        <v>9</v>
      </c>
      <c r="M20" s="37">
        <f t="shared" si="1"/>
        <v>1440</v>
      </c>
    </row>
    <row r="21" spans="2:13" s="30" customFormat="1" x14ac:dyDescent="0.25">
      <c r="B21" s="9"/>
      <c r="C21" s="31">
        <v>23371</v>
      </c>
      <c r="D21" s="31" t="s">
        <v>56</v>
      </c>
      <c r="E21" s="31" t="s">
        <v>57</v>
      </c>
      <c r="F21" s="31" t="s">
        <v>58</v>
      </c>
      <c r="G21" s="32" t="s">
        <v>244</v>
      </c>
      <c r="H21" s="31" t="s">
        <v>19</v>
      </c>
      <c r="I21" s="33">
        <v>41136</v>
      </c>
      <c r="J21" s="34">
        <f t="shared" si="0"/>
        <v>8</v>
      </c>
      <c r="K21" s="35">
        <v>204</v>
      </c>
      <c r="L21" s="36">
        <v>6.99</v>
      </c>
      <c r="M21" s="37">
        <f t="shared" si="1"/>
        <v>1425.96</v>
      </c>
    </row>
    <row r="22" spans="2:13" s="30" customFormat="1" x14ac:dyDescent="0.25">
      <c r="B22" s="9"/>
      <c r="C22" s="31">
        <v>23288</v>
      </c>
      <c r="D22" s="31" t="s">
        <v>59</v>
      </c>
      <c r="E22" s="31" t="s">
        <v>60</v>
      </c>
      <c r="F22" s="31" t="s">
        <v>36</v>
      </c>
      <c r="G22" s="32" t="s">
        <v>242</v>
      </c>
      <c r="H22" s="31" t="s">
        <v>22</v>
      </c>
      <c r="I22" s="33">
        <v>41074</v>
      </c>
      <c r="J22" s="34">
        <f t="shared" si="0"/>
        <v>6</v>
      </c>
      <c r="K22" s="35">
        <v>141</v>
      </c>
      <c r="L22" s="36">
        <v>9.99</v>
      </c>
      <c r="M22" s="37">
        <f t="shared" si="1"/>
        <v>1408.59</v>
      </c>
    </row>
    <row r="23" spans="2:13" s="30" customFormat="1" x14ac:dyDescent="0.25">
      <c r="B23" s="9"/>
      <c r="C23" s="31">
        <v>23347</v>
      </c>
      <c r="D23" s="31" t="s">
        <v>61</v>
      </c>
      <c r="E23" s="31" t="s">
        <v>62</v>
      </c>
      <c r="F23" s="31" t="s">
        <v>39</v>
      </c>
      <c r="G23" s="32" t="s">
        <v>237</v>
      </c>
      <c r="H23" s="31" t="s">
        <v>19</v>
      </c>
      <c r="I23" s="33">
        <v>41088</v>
      </c>
      <c r="J23" s="34">
        <f t="shared" si="0"/>
        <v>6</v>
      </c>
      <c r="K23" s="35">
        <v>147</v>
      </c>
      <c r="L23" s="36">
        <v>9</v>
      </c>
      <c r="M23" s="37">
        <f t="shared" si="1"/>
        <v>1323</v>
      </c>
    </row>
    <row r="24" spans="2:13" s="30" customFormat="1" x14ac:dyDescent="0.25">
      <c r="B24" s="9"/>
      <c r="C24" s="31">
        <v>23361</v>
      </c>
      <c r="D24" s="31" t="s">
        <v>63</v>
      </c>
      <c r="E24" s="31" t="s">
        <v>64</v>
      </c>
      <c r="F24" s="31" t="s">
        <v>58</v>
      </c>
      <c r="G24" s="32" t="s">
        <v>244</v>
      </c>
      <c r="H24" s="31" t="s">
        <v>19</v>
      </c>
      <c r="I24" s="33">
        <v>40915</v>
      </c>
      <c r="J24" s="34">
        <f t="shared" si="0"/>
        <v>1</v>
      </c>
      <c r="K24" s="35">
        <v>184</v>
      </c>
      <c r="L24" s="36">
        <v>6.99</v>
      </c>
      <c r="M24" s="37">
        <f t="shared" si="1"/>
        <v>1286.1600000000001</v>
      </c>
    </row>
    <row r="25" spans="2:13" s="30" customFormat="1" x14ac:dyDescent="0.25">
      <c r="B25" s="9"/>
      <c r="C25" s="31">
        <v>23275</v>
      </c>
      <c r="D25" s="31" t="s">
        <v>65</v>
      </c>
      <c r="E25" s="31" t="s">
        <v>66</v>
      </c>
      <c r="F25" s="31" t="s">
        <v>39</v>
      </c>
      <c r="G25" s="32" t="s">
        <v>237</v>
      </c>
      <c r="H25" s="31" t="s">
        <v>25</v>
      </c>
      <c r="I25" s="33">
        <v>40912</v>
      </c>
      <c r="J25" s="34">
        <f t="shared" si="0"/>
        <v>1</v>
      </c>
      <c r="K25" s="35">
        <v>141</v>
      </c>
      <c r="L25" s="36">
        <v>9</v>
      </c>
      <c r="M25" s="37">
        <f t="shared" si="1"/>
        <v>1269</v>
      </c>
    </row>
    <row r="26" spans="2:13" s="30" customFormat="1" x14ac:dyDescent="0.25">
      <c r="B26" s="9"/>
      <c r="C26" s="31">
        <v>23297</v>
      </c>
      <c r="D26" s="31" t="s">
        <v>67</v>
      </c>
      <c r="E26" s="31" t="s">
        <v>68</v>
      </c>
      <c r="F26" s="31" t="s">
        <v>39</v>
      </c>
      <c r="G26" s="32" t="s">
        <v>237</v>
      </c>
      <c r="H26" s="31" t="s">
        <v>19</v>
      </c>
      <c r="I26" s="33">
        <v>41133</v>
      </c>
      <c r="J26" s="34">
        <f t="shared" si="0"/>
        <v>8</v>
      </c>
      <c r="K26" s="35">
        <v>135</v>
      </c>
      <c r="L26" s="36">
        <v>9</v>
      </c>
      <c r="M26" s="37">
        <f t="shared" si="1"/>
        <v>1215</v>
      </c>
    </row>
    <row r="27" spans="2:13" s="30" customFormat="1" x14ac:dyDescent="0.25">
      <c r="B27" s="9"/>
      <c r="C27" s="31">
        <v>23327</v>
      </c>
      <c r="D27" s="31" t="s">
        <v>69</v>
      </c>
      <c r="E27" s="31" t="s">
        <v>70</v>
      </c>
      <c r="F27" s="31" t="s">
        <v>71</v>
      </c>
      <c r="G27" s="32" t="s">
        <v>236</v>
      </c>
      <c r="H27" s="31" t="s">
        <v>25</v>
      </c>
      <c r="I27" s="33">
        <v>40939</v>
      </c>
      <c r="J27" s="34">
        <f t="shared" si="0"/>
        <v>1</v>
      </c>
      <c r="K27" s="35">
        <v>176</v>
      </c>
      <c r="L27" s="36">
        <v>6.5</v>
      </c>
      <c r="M27" s="37">
        <f t="shared" si="1"/>
        <v>1144</v>
      </c>
    </row>
    <row r="28" spans="2:13" s="30" customFormat="1" x14ac:dyDescent="0.25">
      <c r="B28" s="9"/>
      <c r="C28" s="31">
        <v>23325</v>
      </c>
      <c r="D28" s="31" t="s">
        <v>72</v>
      </c>
      <c r="E28" s="31" t="s">
        <v>73</v>
      </c>
      <c r="F28" s="31" t="s">
        <v>74</v>
      </c>
      <c r="G28" s="32" t="s">
        <v>235</v>
      </c>
      <c r="H28" s="31" t="s">
        <v>25</v>
      </c>
      <c r="I28" s="33">
        <v>41082</v>
      </c>
      <c r="J28" s="34">
        <f t="shared" si="0"/>
        <v>6</v>
      </c>
      <c r="K28" s="35">
        <v>184</v>
      </c>
      <c r="L28" s="36">
        <v>6</v>
      </c>
      <c r="M28" s="37">
        <f t="shared" si="1"/>
        <v>1104</v>
      </c>
    </row>
    <row r="29" spans="2:13" s="30" customFormat="1" x14ac:dyDescent="0.25">
      <c r="B29" s="9"/>
      <c r="C29" s="31">
        <v>23292</v>
      </c>
      <c r="D29" s="31" t="s">
        <v>75</v>
      </c>
      <c r="E29" s="31" t="s">
        <v>76</v>
      </c>
      <c r="F29" s="31" t="s">
        <v>18</v>
      </c>
      <c r="G29" s="32" t="s">
        <v>245</v>
      </c>
      <c r="H29" s="31" t="s">
        <v>19</v>
      </c>
      <c r="I29" s="33">
        <v>40911</v>
      </c>
      <c r="J29" s="34">
        <f t="shared" si="0"/>
        <v>1</v>
      </c>
      <c r="K29" s="35">
        <v>73</v>
      </c>
      <c r="L29" s="36">
        <v>14.5</v>
      </c>
      <c r="M29" s="37">
        <f t="shared" si="1"/>
        <v>1058.5</v>
      </c>
    </row>
    <row r="30" spans="2:13" s="30" customFormat="1" x14ac:dyDescent="0.25">
      <c r="B30" s="9"/>
      <c r="C30" s="31">
        <v>23335</v>
      </c>
      <c r="D30" s="31" t="s">
        <v>77</v>
      </c>
      <c r="E30" s="31" t="s">
        <v>78</v>
      </c>
      <c r="F30" s="31" t="s">
        <v>39</v>
      </c>
      <c r="G30" s="32" t="s">
        <v>237</v>
      </c>
      <c r="H30" s="31" t="s">
        <v>19</v>
      </c>
      <c r="I30" s="33">
        <v>41134</v>
      </c>
      <c r="J30" s="34">
        <f t="shared" si="0"/>
        <v>8</v>
      </c>
      <c r="K30" s="35">
        <v>116</v>
      </c>
      <c r="L30" s="36">
        <v>9</v>
      </c>
      <c r="M30" s="37">
        <f t="shared" si="1"/>
        <v>1044</v>
      </c>
    </row>
    <row r="31" spans="2:13" s="30" customFormat="1" x14ac:dyDescent="0.25">
      <c r="B31" s="9"/>
      <c r="C31" s="31">
        <v>23314</v>
      </c>
      <c r="D31" s="31" t="s">
        <v>79</v>
      </c>
      <c r="E31" s="31" t="s">
        <v>80</v>
      </c>
      <c r="F31" s="31" t="s">
        <v>36</v>
      </c>
      <c r="G31" s="32" t="s">
        <v>242</v>
      </c>
      <c r="H31" s="31" t="s">
        <v>25</v>
      </c>
      <c r="I31" s="33">
        <v>41131</v>
      </c>
      <c r="J31" s="34">
        <f t="shared" si="0"/>
        <v>8</v>
      </c>
      <c r="K31" s="35">
        <v>95</v>
      </c>
      <c r="L31" s="36">
        <v>9.99</v>
      </c>
      <c r="M31" s="37">
        <f t="shared" si="1"/>
        <v>949.05000000000007</v>
      </c>
    </row>
    <row r="32" spans="2:13" s="30" customFormat="1" x14ac:dyDescent="0.25">
      <c r="B32" s="9"/>
      <c r="C32" s="31">
        <v>23329</v>
      </c>
      <c r="D32" s="31" t="s">
        <v>81</v>
      </c>
      <c r="E32" s="31" t="s">
        <v>82</v>
      </c>
      <c r="F32" s="31" t="s">
        <v>83</v>
      </c>
      <c r="G32" s="32" t="s">
        <v>240</v>
      </c>
      <c r="H32" s="31" t="s">
        <v>25</v>
      </c>
      <c r="I32" s="33">
        <v>40931</v>
      </c>
      <c r="J32" s="34">
        <f t="shared" si="0"/>
        <v>1</v>
      </c>
      <c r="K32" s="35">
        <v>203</v>
      </c>
      <c r="L32" s="36">
        <v>4.5</v>
      </c>
      <c r="M32" s="37">
        <f t="shared" si="1"/>
        <v>913.5</v>
      </c>
    </row>
    <row r="33" spans="2:13" s="30" customFormat="1" x14ac:dyDescent="0.25">
      <c r="B33" s="9"/>
      <c r="C33" s="31">
        <v>23332</v>
      </c>
      <c r="D33" s="31" t="s">
        <v>84</v>
      </c>
      <c r="E33" s="31" t="s">
        <v>85</v>
      </c>
      <c r="F33" s="31" t="s">
        <v>83</v>
      </c>
      <c r="G33" s="32" t="s">
        <v>240</v>
      </c>
      <c r="H33" s="31" t="s">
        <v>22</v>
      </c>
      <c r="I33" s="33">
        <v>40950</v>
      </c>
      <c r="J33" s="34">
        <f t="shared" si="0"/>
        <v>2</v>
      </c>
      <c r="K33" s="35">
        <v>203</v>
      </c>
      <c r="L33" s="36">
        <v>4.5</v>
      </c>
      <c r="M33" s="37">
        <f t="shared" si="1"/>
        <v>913.5</v>
      </c>
    </row>
    <row r="34" spans="2:13" s="30" customFormat="1" x14ac:dyDescent="0.25">
      <c r="B34" s="9"/>
      <c r="C34" s="31">
        <v>23317</v>
      </c>
      <c r="D34" s="31" t="s">
        <v>86</v>
      </c>
      <c r="E34" s="31" t="s">
        <v>87</v>
      </c>
      <c r="F34" s="31" t="s">
        <v>83</v>
      </c>
      <c r="G34" s="32" t="s">
        <v>240</v>
      </c>
      <c r="H34" s="31" t="s">
        <v>22</v>
      </c>
      <c r="I34" s="33">
        <v>40956</v>
      </c>
      <c r="J34" s="34">
        <f t="shared" si="0"/>
        <v>2</v>
      </c>
      <c r="K34" s="35">
        <v>196</v>
      </c>
      <c r="L34" s="36">
        <v>4.5</v>
      </c>
      <c r="M34" s="37">
        <f t="shared" si="1"/>
        <v>882</v>
      </c>
    </row>
    <row r="35" spans="2:13" s="30" customFormat="1" x14ac:dyDescent="0.25">
      <c r="B35" s="9"/>
      <c r="C35" s="31">
        <v>23271</v>
      </c>
      <c r="D35" s="31" t="s">
        <v>88</v>
      </c>
      <c r="E35" s="31" t="s">
        <v>89</v>
      </c>
      <c r="F35" s="31" t="s">
        <v>58</v>
      </c>
      <c r="G35" s="32" t="s">
        <v>244</v>
      </c>
      <c r="H35" s="31" t="s">
        <v>25</v>
      </c>
      <c r="I35" s="33">
        <v>40966</v>
      </c>
      <c r="J35" s="34">
        <f t="shared" si="0"/>
        <v>2</v>
      </c>
      <c r="K35" s="35">
        <v>125</v>
      </c>
      <c r="L35" s="36">
        <v>6.99</v>
      </c>
      <c r="M35" s="37">
        <f t="shared" si="1"/>
        <v>873.75</v>
      </c>
    </row>
    <row r="36" spans="2:13" s="30" customFormat="1" x14ac:dyDescent="0.25">
      <c r="B36" s="9"/>
      <c r="C36" s="31">
        <v>23287</v>
      </c>
      <c r="D36" s="31" t="s">
        <v>90</v>
      </c>
      <c r="E36" s="31" t="s">
        <v>91</v>
      </c>
      <c r="F36" s="31" t="s">
        <v>83</v>
      </c>
      <c r="G36" s="32" t="s">
        <v>240</v>
      </c>
      <c r="H36" s="31" t="s">
        <v>25</v>
      </c>
      <c r="I36" s="33">
        <v>41077</v>
      </c>
      <c r="J36" s="34">
        <f t="shared" si="0"/>
        <v>6</v>
      </c>
      <c r="K36" s="35">
        <v>189</v>
      </c>
      <c r="L36" s="36">
        <v>4.5</v>
      </c>
      <c r="M36" s="37">
        <f t="shared" si="1"/>
        <v>850.5</v>
      </c>
    </row>
    <row r="37" spans="2:13" s="30" customFormat="1" x14ac:dyDescent="0.25">
      <c r="B37" s="9"/>
      <c r="C37" s="31">
        <v>23349</v>
      </c>
      <c r="D37" s="31" t="s">
        <v>92</v>
      </c>
      <c r="E37" s="31" t="s">
        <v>93</v>
      </c>
      <c r="F37" s="31" t="s">
        <v>71</v>
      </c>
      <c r="G37" s="32" t="s">
        <v>236</v>
      </c>
      <c r="H37" s="31" t="s">
        <v>25</v>
      </c>
      <c r="I37" s="33">
        <v>41112</v>
      </c>
      <c r="J37" s="34">
        <f t="shared" si="0"/>
        <v>7</v>
      </c>
      <c r="K37" s="35">
        <v>126</v>
      </c>
      <c r="L37" s="36">
        <v>6.5</v>
      </c>
      <c r="M37" s="37">
        <f t="shared" si="1"/>
        <v>819</v>
      </c>
    </row>
    <row r="38" spans="2:13" s="30" customFormat="1" x14ac:dyDescent="0.25">
      <c r="B38" s="9"/>
      <c r="C38" s="31">
        <v>23309</v>
      </c>
      <c r="D38" s="31" t="s">
        <v>94</v>
      </c>
      <c r="E38" s="31" t="s">
        <v>95</v>
      </c>
      <c r="F38" s="31" t="s">
        <v>96</v>
      </c>
      <c r="G38" s="32" t="s">
        <v>239</v>
      </c>
      <c r="H38" s="31" t="s">
        <v>19</v>
      </c>
      <c r="I38" s="33">
        <v>41083</v>
      </c>
      <c r="J38" s="34">
        <f t="shared" si="0"/>
        <v>6</v>
      </c>
      <c r="K38" s="35">
        <v>201</v>
      </c>
      <c r="L38" s="36">
        <v>3.99</v>
      </c>
      <c r="M38" s="37">
        <f t="shared" si="1"/>
        <v>801.99</v>
      </c>
    </row>
    <row r="39" spans="2:13" s="30" customFormat="1" x14ac:dyDescent="0.25">
      <c r="B39" s="9"/>
      <c r="C39" s="31">
        <v>23338</v>
      </c>
      <c r="D39" s="31" t="s">
        <v>97</v>
      </c>
      <c r="E39" s="31" t="s">
        <v>98</v>
      </c>
      <c r="F39" s="31" t="s">
        <v>83</v>
      </c>
      <c r="G39" s="32" t="s">
        <v>240</v>
      </c>
      <c r="H39" s="31" t="s">
        <v>25</v>
      </c>
      <c r="I39" s="33">
        <v>41133</v>
      </c>
      <c r="J39" s="34">
        <f t="shared" si="0"/>
        <v>8</v>
      </c>
      <c r="K39" s="35">
        <v>178</v>
      </c>
      <c r="L39" s="36">
        <v>4.5</v>
      </c>
      <c r="M39" s="37">
        <f t="shared" si="1"/>
        <v>801</v>
      </c>
    </row>
    <row r="40" spans="2:13" s="30" customFormat="1" x14ac:dyDescent="0.25">
      <c r="B40" s="9"/>
      <c r="C40" s="31">
        <v>23301</v>
      </c>
      <c r="D40" s="31" t="s">
        <v>99</v>
      </c>
      <c r="E40" s="31" t="s">
        <v>100</v>
      </c>
      <c r="F40" s="31" t="s">
        <v>58</v>
      </c>
      <c r="G40" s="32" t="s">
        <v>244</v>
      </c>
      <c r="H40" s="31" t="s">
        <v>25</v>
      </c>
      <c r="I40" s="33">
        <v>41109</v>
      </c>
      <c r="J40" s="34">
        <f t="shared" si="0"/>
        <v>7</v>
      </c>
      <c r="K40" s="35">
        <v>108</v>
      </c>
      <c r="L40" s="36">
        <v>6.99</v>
      </c>
      <c r="M40" s="37">
        <f t="shared" si="1"/>
        <v>754.92000000000007</v>
      </c>
    </row>
    <row r="41" spans="2:13" s="30" customFormat="1" x14ac:dyDescent="0.25">
      <c r="B41" s="9"/>
      <c r="C41" s="31">
        <v>23320</v>
      </c>
      <c r="D41" s="31" t="s">
        <v>101</v>
      </c>
      <c r="E41" s="31" t="s">
        <v>102</v>
      </c>
      <c r="F41" s="31" t="s">
        <v>74</v>
      </c>
      <c r="G41" s="32" t="s">
        <v>235</v>
      </c>
      <c r="H41" s="31" t="s">
        <v>22</v>
      </c>
      <c r="I41" s="33">
        <v>41075</v>
      </c>
      <c r="J41" s="34">
        <f t="shared" si="0"/>
        <v>6</v>
      </c>
      <c r="K41" s="35">
        <v>125</v>
      </c>
      <c r="L41" s="36">
        <v>6</v>
      </c>
      <c r="M41" s="37">
        <f t="shared" si="1"/>
        <v>750</v>
      </c>
    </row>
    <row r="42" spans="2:13" s="30" customFormat="1" x14ac:dyDescent="0.25">
      <c r="B42" s="9"/>
      <c r="C42" s="31">
        <v>23365</v>
      </c>
      <c r="D42" s="31" t="s">
        <v>103</v>
      </c>
      <c r="E42" s="31" t="s">
        <v>104</v>
      </c>
      <c r="F42" s="31" t="s">
        <v>105</v>
      </c>
      <c r="G42" s="32" t="s">
        <v>243</v>
      </c>
      <c r="H42" s="31" t="s">
        <v>25</v>
      </c>
      <c r="I42" s="33">
        <v>41099</v>
      </c>
      <c r="J42" s="34">
        <f t="shared" si="0"/>
        <v>7</v>
      </c>
      <c r="K42" s="35">
        <v>165</v>
      </c>
      <c r="L42" s="36">
        <v>4.5</v>
      </c>
      <c r="M42" s="37">
        <f t="shared" si="1"/>
        <v>742.5</v>
      </c>
    </row>
    <row r="43" spans="2:13" s="30" customFormat="1" x14ac:dyDescent="0.25">
      <c r="B43" s="9"/>
      <c r="C43" s="31">
        <v>23302</v>
      </c>
      <c r="D43" s="31" t="s">
        <v>106</v>
      </c>
      <c r="E43" s="31" t="s">
        <v>80</v>
      </c>
      <c r="F43" s="31" t="s">
        <v>107</v>
      </c>
      <c r="G43" s="32" t="s">
        <v>241</v>
      </c>
      <c r="H43" s="31" t="s">
        <v>19</v>
      </c>
      <c r="I43" s="33">
        <v>41117</v>
      </c>
      <c r="J43" s="34">
        <f t="shared" si="0"/>
        <v>7</v>
      </c>
      <c r="K43" s="35">
        <v>105</v>
      </c>
      <c r="L43" s="36">
        <v>6.5</v>
      </c>
      <c r="M43" s="37">
        <f t="shared" si="1"/>
        <v>682.5</v>
      </c>
    </row>
    <row r="44" spans="2:13" s="30" customFormat="1" x14ac:dyDescent="0.25">
      <c r="B44" s="9"/>
      <c r="C44" s="31">
        <v>23266</v>
      </c>
      <c r="D44" s="31" t="s">
        <v>108</v>
      </c>
      <c r="E44" s="31" t="s">
        <v>109</v>
      </c>
      <c r="F44" s="31" t="s">
        <v>96</v>
      </c>
      <c r="G44" s="32" t="s">
        <v>239</v>
      </c>
      <c r="H44" s="31" t="s">
        <v>19</v>
      </c>
      <c r="I44" s="33">
        <v>41132</v>
      </c>
      <c r="J44" s="34">
        <f t="shared" si="0"/>
        <v>8</v>
      </c>
      <c r="K44" s="35">
        <v>170</v>
      </c>
      <c r="L44" s="36">
        <v>3.99</v>
      </c>
      <c r="M44" s="37">
        <f t="shared" si="1"/>
        <v>678.30000000000007</v>
      </c>
    </row>
    <row r="45" spans="2:13" s="30" customFormat="1" x14ac:dyDescent="0.25">
      <c r="B45" s="9"/>
      <c r="C45" s="31">
        <v>23307</v>
      </c>
      <c r="D45" s="31" t="s">
        <v>110</v>
      </c>
      <c r="E45" s="31" t="s">
        <v>111</v>
      </c>
      <c r="F45" s="31" t="s">
        <v>74</v>
      </c>
      <c r="G45" s="32" t="s">
        <v>235</v>
      </c>
      <c r="H45" s="31" t="s">
        <v>25</v>
      </c>
      <c r="I45" s="33">
        <v>41094</v>
      </c>
      <c r="J45" s="34">
        <f t="shared" si="0"/>
        <v>7</v>
      </c>
      <c r="K45" s="35">
        <v>113</v>
      </c>
      <c r="L45" s="36">
        <v>6</v>
      </c>
      <c r="M45" s="37">
        <f t="shared" si="1"/>
        <v>678</v>
      </c>
    </row>
    <row r="46" spans="2:13" s="30" customFormat="1" x14ac:dyDescent="0.25">
      <c r="B46" s="9"/>
      <c r="C46" s="31">
        <v>23368</v>
      </c>
      <c r="D46" s="31" t="s">
        <v>112</v>
      </c>
      <c r="E46" s="31" t="s">
        <v>113</v>
      </c>
      <c r="F46" s="31" t="s">
        <v>105</v>
      </c>
      <c r="G46" s="32" t="s">
        <v>243</v>
      </c>
      <c r="H46" s="31" t="s">
        <v>25</v>
      </c>
      <c r="I46" s="33">
        <v>41146</v>
      </c>
      <c r="J46" s="34">
        <f t="shared" si="0"/>
        <v>8</v>
      </c>
      <c r="K46" s="35">
        <v>150</v>
      </c>
      <c r="L46" s="36">
        <v>4.5</v>
      </c>
      <c r="M46" s="37">
        <f t="shared" si="1"/>
        <v>675</v>
      </c>
    </row>
    <row r="47" spans="2:13" s="30" customFormat="1" x14ac:dyDescent="0.25">
      <c r="B47" s="9"/>
      <c r="C47" s="31">
        <v>23286</v>
      </c>
      <c r="D47" s="31" t="s">
        <v>114</v>
      </c>
      <c r="E47" s="31" t="s">
        <v>115</v>
      </c>
      <c r="F47" s="31" t="s">
        <v>39</v>
      </c>
      <c r="G47" s="32" t="s">
        <v>237</v>
      </c>
      <c r="H47" s="31" t="s">
        <v>19</v>
      </c>
      <c r="I47" s="33">
        <v>41129</v>
      </c>
      <c r="J47" s="34">
        <f t="shared" si="0"/>
        <v>8</v>
      </c>
      <c r="K47" s="35">
        <v>69</v>
      </c>
      <c r="L47" s="36">
        <v>9</v>
      </c>
      <c r="M47" s="37">
        <f t="shared" si="1"/>
        <v>621</v>
      </c>
    </row>
    <row r="48" spans="2:13" s="30" customFormat="1" x14ac:dyDescent="0.25">
      <c r="B48" s="9"/>
      <c r="C48" s="31">
        <v>23373</v>
      </c>
      <c r="D48" s="31" t="s">
        <v>116</v>
      </c>
      <c r="E48" s="31" t="s">
        <v>117</v>
      </c>
      <c r="F48" s="31" t="s">
        <v>71</v>
      </c>
      <c r="G48" s="32" t="s">
        <v>236</v>
      </c>
      <c r="H48" s="31" t="s">
        <v>19</v>
      </c>
      <c r="I48" s="33">
        <v>41114</v>
      </c>
      <c r="J48" s="34">
        <f t="shared" si="0"/>
        <v>7</v>
      </c>
      <c r="K48" s="35">
        <v>95</v>
      </c>
      <c r="L48" s="36">
        <v>6.5</v>
      </c>
      <c r="M48" s="37">
        <f t="shared" si="1"/>
        <v>617.5</v>
      </c>
    </row>
    <row r="49" spans="2:13" s="30" customFormat="1" x14ac:dyDescent="0.25">
      <c r="B49" s="9"/>
      <c r="C49" s="31">
        <v>23380</v>
      </c>
      <c r="D49" s="31" t="s">
        <v>118</v>
      </c>
      <c r="E49" s="31" t="s">
        <v>119</v>
      </c>
      <c r="F49" s="31" t="s">
        <v>107</v>
      </c>
      <c r="G49" s="32" t="s">
        <v>241</v>
      </c>
      <c r="H49" s="31" t="s">
        <v>25</v>
      </c>
      <c r="I49" s="33">
        <v>41112</v>
      </c>
      <c r="J49" s="34">
        <f t="shared" si="0"/>
        <v>7</v>
      </c>
      <c r="K49" s="35">
        <v>95</v>
      </c>
      <c r="L49" s="36">
        <v>6.5</v>
      </c>
      <c r="M49" s="37">
        <f t="shared" si="1"/>
        <v>617.5</v>
      </c>
    </row>
    <row r="50" spans="2:13" s="30" customFormat="1" x14ac:dyDescent="0.25">
      <c r="B50" s="9"/>
      <c r="C50" s="31">
        <v>23284</v>
      </c>
      <c r="D50" s="31" t="s">
        <v>120</v>
      </c>
      <c r="E50" s="31" t="s">
        <v>121</v>
      </c>
      <c r="F50" s="31" t="s">
        <v>83</v>
      </c>
      <c r="G50" s="32" t="s">
        <v>240</v>
      </c>
      <c r="H50" s="31" t="s">
        <v>25</v>
      </c>
      <c r="I50" s="33">
        <v>41077</v>
      </c>
      <c r="J50" s="34">
        <f t="shared" si="0"/>
        <v>6</v>
      </c>
      <c r="K50" s="35">
        <v>135</v>
      </c>
      <c r="L50" s="36">
        <v>4.5</v>
      </c>
      <c r="M50" s="37">
        <f t="shared" si="1"/>
        <v>607.5</v>
      </c>
    </row>
    <row r="51" spans="2:13" s="30" customFormat="1" x14ac:dyDescent="0.25">
      <c r="B51" s="9"/>
      <c r="C51" s="31">
        <v>23306</v>
      </c>
      <c r="D51" s="31" t="s">
        <v>122</v>
      </c>
      <c r="E51" s="31" t="s">
        <v>123</v>
      </c>
      <c r="F51" s="31" t="s">
        <v>71</v>
      </c>
      <c r="G51" s="32" t="s">
        <v>236</v>
      </c>
      <c r="H51" s="31" t="s">
        <v>19</v>
      </c>
      <c r="I51" s="33">
        <v>41068</v>
      </c>
      <c r="J51" s="34">
        <f t="shared" si="0"/>
        <v>6</v>
      </c>
      <c r="K51" s="35">
        <v>93</v>
      </c>
      <c r="L51" s="36">
        <v>6.5</v>
      </c>
      <c r="M51" s="37">
        <f t="shared" si="1"/>
        <v>604.5</v>
      </c>
    </row>
    <row r="52" spans="2:13" s="30" customFormat="1" x14ac:dyDescent="0.25">
      <c r="B52" s="9"/>
      <c r="C52" s="31">
        <v>23281</v>
      </c>
      <c r="D52" s="31" t="s">
        <v>124</v>
      </c>
      <c r="E52" s="31" t="s">
        <v>125</v>
      </c>
      <c r="F52" s="31" t="s">
        <v>105</v>
      </c>
      <c r="G52" s="32" t="s">
        <v>243</v>
      </c>
      <c r="H52" s="31" t="s">
        <v>25</v>
      </c>
      <c r="I52" s="33">
        <v>41103</v>
      </c>
      <c r="J52" s="34">
        <f t="shared" si="0"/>
        <v>7</v>
      </c>
      <c r="K52" s="35">
        <v>134</v>
      </c>
      <c r="L52" s="36">
        <v>4.5</v>
      </c>
      <c r="M52" s="37">
        <f t="shared" si="1"/>
        <v>603</v>
      </c>
    </row>
    <row r="53" spans="2:13" s="30" customFormat="1" x14ac:dyDescent="0.25">
      <c r="B53" s="9"/>
      <c r="C53" s="31">
        <v>23351</v>
      </c>
      <c r="D53" s="31" t="s">
        <v>126</v>
      </c>
      <c r="E53" s="31" t="s">
        <v>127</v>
      </c>
      <c r="F53" s="31" t="s">
        <v>96</v>
      </c>
      <c r="G53" s="32" t="s">
        <v>239</v>
      </c>
      <c r="H53" s="31" t="s">
        <v>19</v>
      </c>
      <c r="I53" s="33">
        <v>41124</v>
      </c>
      <c r="J53" s="34">
        <f t="shared" si="0"/>
        <v>8</v>
      </c>
      <c r="K53" s="35">
        <v>151</v>
      </c>
      <c r="L53" s="36">
        <v>3.99</v>
      </c>
      <c r="M53" s="37">
        <f t="shared" si="1"/>
        <v>602.49</v>
      </c>
    </row>
    <row r="54" spans="2:13" s="30" customFormat="1" x14ac:dyDescent="0.25">
      <c r="B54" s="9"/>
      <c r="C54" s="31">
        <v>23282</v>
      </c>
      <c r="D54" s="31" t="s">
        <v>128</v>
      </c>
      <c r="E54" s="31" t="s">
        <v>129</v>
      </c>
      <c r="F54" s="31" t="s">
        <v>74</v>
      </c>
      <c r="G54" s="32" t="s">
        <v>235</v>
      </c>
      <c r="H54" s="31" t="s">
        <v>25</v>
      </c>
      <c r="I54" s="33">
        <v>41142</v>
      </c>
      <c r="J54" s="34">
        <f t="shared" si="0"/>
        <v>8</v>
      </c>
      <c r="K54" s="35">
        <v>100</v>
      </c>
      <c r="L54" s="36">
        <v>6</v>
      </c>
      <c r="M54" s="37">
        <f t="shared" si="1"/>
        <v>600</v>
      </c>
    </row>
    <row r="55" spans="2:13" s="30" customFormat="1" x14ac:dyDescent="0.25">
      <c r="B55" s="9"/>
      <c r="C55" s="31">
        <v>23376</v>
      </c>
      <c r="D55" s="31" t="s">
        <v>130</v>
      </c>
      <c r="E55" s="31" t="s">
        <v>131</v>
      </c>
      <c r="F55" s="31" t="s">
        <v>58</v>
      </c>
      <c r="G55" s="32" t="s">
        <v>244</v>
      </c>
      <c r="H55" s="31" t="s">
        <v>22</v>
      </c>
      <c r="I55" s="33">
        <v>41113</v>
      </c>
      <c r="J55" s="34">
        <f t="shared" si="0"/>
        <v>7</v>
      </c>
      <c r="K55" s="35">
        <v>85</v>
      </c>
      <c r="L55" s="36">
        <v>6.99</v>
      </c>
      <c r="M55" s="37">
        <f t="shared" si="1"/>
        <v>594.15</v>
      </c>
    </row>
    <row r="56" spans="2:13" s="30" customFormat="1" x14ac:dyDescent="0.25">
      <c r="B56" s="9"/>
      <c r="C56" s="31">
        <v>23354</v>
      </c>
      <c r="D56" s="31" t="s">
        <v>132</v>
      </c>
      <c r="E56" s="31" t="s">
        <v>133</v>
      </c>
      <c r="F56" s="31" t="s">
        <v>58</v>
      </c>
      <c r="G56" s="32" t="s">
        <v>244</v>
      </c>
      <c r="H56" s="31" t="s">
        <v>19</v>
      </c>
      <c r="I56" s="33">
        <v>41124</v>
      </c>
      <c r="J56" s="34">
        <f t="shared" si="0"/>
        <v>8</v>
      </c>
      <c r="K56" s="35">
        <v>84</v>
      </c>
      <c r="L56" s="36">
        <v>6.99</v>
      </c>
      <c r="M56" s="37">
        <f t="shared" si="1"/>
        <v>587.16</v>
      </c>
    </row>
    <row r="57" spans="2:13" s="30" customFormat="1" x14ac:dyDescent="0.25">
      <c r="B57" s="9"/>
      <c r="C57" s="31">
        <v>23337</v>
      </c>
      <c r="D57" s="31" t="s">
        <v>134</v>
      </c>
      <c r="E57" s="31" t="s">
        <v>135</v>
      </c>
      <c r="F57" s="31" t="s">
        <v>58</v>
      </c>
      <c r="G57" s="32" t="s">
        <v>244</v>
      </c>
      <c r="H57" s="31" t="s">
        <v>25</v>
      </c>
      <c r="I57" s="33">
        <v>41097</v>
      </c>
      <c r="J57" s="34">
        <f t="shared" si="0"/>
        <v>7</v>
      </c>
      <c r="K57" s="35">
        <v>82</v>
      </c>
      <c r="L57" s="36">
        <v>6.99</v>
      </c>
      <c r="M57" s="37">
        <f t="shared" si="1"/>
        <v>573.18000000000006</v>
      </c>
    </row>
    <row r="58" spans="2:13" s="30" customFormat="1" x14ac:dyDescent="0.25">
      <c r="B58" s="9"/>
      <c r="C58" s="31">
        <v>23326</v>
      </c>
      <c r="D58" s="31" t="s">
        <v>136</v>
      </c>
      <c r="E58" s="31" t="s">
        <v>137</v>
      </c>
      <c r="F58" s="31" t="s">
        <v>105</v>
      </c>
      <c r="G58" s="32" t="s">
        <v>243</v>
      </c>
      <c r="H58" s="31" t="s">
        <v>25</v>
      </c>
      <c r="I58" s="33">
        <v>41142</v>
      </c>
      <c r="J58" s="34">
        <f t="shared" si="0"/>
        <v>8</v>
      </c>
      <c r="K58" s="35">
        <v>126</v>
      </c>
      <c r="L58" s="36">
        <v>4.5</v>
      </c>
      <c r="M58" s="37">
        <f t="shared" si="1"/>
        <v>567</v>
      </c>
    </row>
    <row r="59" spans="2:13" s="30" customFormat="1" x14ac:dyDescent="0.25">
      <c r="B59" s="9"/>
      <c r="C59" s="31">
        <v>23316</v>
      </c>
      <c r="D59" s="31" t="s">
        <v>138</v>
      </c>
      <c r="E59" s="31" t="s">
        <v>139</v>
      </c>
      <c r="F59" s="31" t="s">
        <v>96</v>
      </c>
      <c r="G59" s="32" t="s">
        <v>239</v>
      </c>
      <c r="H59" s="31" t="s">
        <v>25</v>
      </c>
      <c r="I59" s="33">
        <v>41061</v>
      </c>
      <c r="J59" s="34">
        <f t="shared" si="0"/>
        <v>6</v>
      </c>
      <c r="K59" s="35">
        <v>137</v>
      </c>
      <c r="L59" s="36">
        <v>3.99</v>
      </c>
      <c r="M59" s="37">
        <f t="shared" si="1"/>
        <v>546.63</v>
      </c>
    </row>
    <row r="60" spans="2:13" s="30" customFormat="1" x14ac:dyDescent="0.25">
      <c r="B60" s="9"/>
      <c r="C60" s="31">
        <v>23362</v>
      </c>
      <c r="D60" s="31" t="s">
        <v>140</v>
      </c>
      <c r="E60" s="31" t="s">
        <v>141</v>
      </c>
      <c r="F60" s="31" t="s">
        <v>142</v>
      </c>
      <c r="G60" s="32" t="s">
        <v>238</v>
      </c>
      <c r="H60" s="31" t="s">
        <v>19</v>
      </c>
      <c r="I60" s="33">
        <v>41139</v>
      </c>
      <c r="J60" s="34">
        <f t="shared" si="0"/>
        <v>8</v>
      </c>
      <c r="K60" s="35">
        <v>179</v>
      </c>
      <c r="L60" s="36">
        <v>3</v>
      </c>
      <c r="M60" s="37">
        <f t="shared" si="1"/>
        <v>537</v>
      </c>
    </row>
    <row r="61" spans="2:13" s="30" customFormat="1" x14ac:dyDescent="0.25">
      <c r="B61" s="9"/>
      <c r="C61" s="31">
        <v>23296</v>
      </c>
      <c r="D61" s="31" t="s">
        <v>143</v>
      </c>
      <c r="E61" s="31" t="s">
        <v>144</v>
      </c>
      <c r="F61" s="31" t="s">
        <v>18</v>
      </c>
      <c r="G61" s="32" t="s">
        <v>245</v>
      </c>
      <c r="H61" s="31" t="s">
        <v>25</v>
      </c>
      <c r="I61" s="33">
        <v>41068</v>
      </c>
      <c r="J61" s="34">
        <f t="shared" si="0"/>
        <v>6</v>
      </c>
      <c r="K61" s="35">
        <v>37</v>
      </c>
      <c r="L61" s="36">
        <v>14.5</v>
      </c>
      <c r="M61" s="37">
        <f t="shared" si="1"/>
        <v>536.5</v>
      </c>
    </row>
    <row r="62" spans="2:13" s="30" customFormat="1" x14ac:dyDescent="0.25">
      <c r="B62" s="9"/>
      <c r="C62" s="31">
        <v>23352</v>
      </c>
      <c r="D62" s="31" t="s">
        <v>145</v>
      </c>
      <c r="E62" s="31" t="s">
        <v>146</v>
      </c>
      <c r="F62" s="31" t="s">
        <v>74</v>
      </c>
      <c r="G62" s="32" t="s">
        <v>235</v>
      </c>
      <c r="H62" s="31" t="s">
        <v>19</v>
      </c>
      <c r="I62" s="33">
        <v>41097</v>
      </c>
      <c r="J62" s="34">
        <f t="shared" si="0"/>
        <v>7</v>
      </c>
      <c r="K62" s="35">
        <v>89</v>
      </c>
      <c r="L62" s="36">
        <v>6</v>
      </c>
      <c r="M62" s="37">
        <f t="shared" si="1"/>
        <v>534</v>
      </c>
    </row>
    <row r="63" spans="2:13" s="30" customFormat="1" x14ac:dyDescent="0.25">
      <c r="B63" s="9"/>
      <c r="C63" s="31">
        <v>23304</v>
      </c>
      <c r="D63" s="31" t="s">
        <v>147</v>
      </c>
      <c r="E63" s="31" t="s">
        <v>148</v>
      </c>
      <c r="F63" s="31" t="s">
        <v>96</v>
      </c>
      <c r="G63" s="32" t="s">
        <v>239</v>
      </c>
      <c r="H63" s="31" t="s">
        <v>25</v>
      </c>
      <c r="I63" s="33">
        <v>41061</v>
      </c>
      <c r="J63" s="34">
        <f t="shared" si="0"/>
        <v>6</v>
      </c>
      <c r="K63" s="35">
        <v>131</v>
      </c>
      <c r="L63" s="36">
        <v>3.99</v>
      </c>
      <c r="M63" s="37">
        <f t="shared" si="1"/>
        <v>522.69000000000005</v>
      </c>
    </row>
    <row r="64" spans="2:13" s="30" customFormat="1" x14ac:dyDescent="0.25">
      <c r="B64" s="9"/>
      <c r="C64" s="31">
        <v>23369</v>
      </c>
      <c r="D64" s="31" t="s">
        <v>149</v>
      </c>
      <c r="E64" s="31" t="s">
        <v>150</v>
      </c>
      <c r="F64" s="31" t="s">
        <v>107</v>
      </c>
      <c r="G64" s="32" t="s">
        <v>241</v>
      </c>
      <c r="H64" s="31" t="s">
        <v>25</v>
      </c>
      <c r="I64" s="33">
        <v>41092</v>
      </c>
      <c r="J64" s="34">
        <f t="shared" si="0"/>
        <v>7</v>
      </c>
      <c r="K64" s="35">
        <v>77</v>
      </c>
      <c r="L64" s="36">
        <v>6.5</v>
      </c>
      <c r="M64" s="37">
        <f t="shared" si="1"/>
        <v>500.5</v>
      </c>
    </row>
    <row r="65" spans="2:13" s="30" customFormat="1" x14ac:dyDescent="0.25">
      <c r="B65" s="9"/>
      <c r="C65" s="31">
        <v>23268</v>
      </c>
      <c r="D65" s="31" t="s">
        <v>151</v>
      </c>
      <c r="E65" s="31" t="s">
        <v>152</v>
      </c>
      <c r="F65" s="31" t="s">
        <v>74</v>
      </c>
      <c r="G65" s="32" t="s">
        <v>235</v>
      </c>
      <c r="H65" s="31" t="s">
        <v>19</v>
      </c>
      <c r="I65" s="33">
        <v>41102</v>
      </c>
      <c r="J65" s="34">
        <f t="shared" si="0"/>
        <v>7</v>
      </c>
      <c r="K65" s="35">
        <v>82</v>
      </c>
      <c r="L65" s="36">
        <v>6</v>
      </c>
      <c r="M65" s="37">
        <f t="shared" si="1"/>
        <v>492</v>
      </c>
    </row>
    <row r="66" spans="2:13" s="30" customFormat="1" x14ac:dyDescent="0.25">
      <c r="B66" s="9"/>
      <c r="C66" s="31">
        <v>23315</v>
      </c>
      <c r="D66" s="31" t="s">
        <v>153</v>
      </c>
      <c r="E66" s="31" t="s">
        <v>35</v>
      </c>
      <c r="F66" s="31" t="s">
        <v>83</v>
      </c>
      <c r="G66" s="32" t="s">
        <v>240</v>
      </c>
      <c r="H66" s="31" t="s">
        <v>25</v>
      </c>
      <c r="I66" s="33">
        <v>41102</v>
      </c>
      <c r="J66" s="34">
        <f t="shared" si="0"/>
        <v>7</v>
      </c>
      <c r="K66" s="35">
        <v>109</v>
      </c>
      <c r="L66" s="36">
        <v>4.5</v>
      </c>
      <c r="M66" s="37">
        <f t="shared" si="1"/>
        <v>490.5</v>
      </c>
    </row>
    <row r="67" spans="2:13" s="30" customFormat="1" x14ac:dyDescent="0.25">
      <c r="B67" s="9"/>
      <c r="C67" s="31">
        <v>23342</v>
      </c>
      <c r="D67" s="31" t="s">
        <v>154</v>
      </c>
      <c r="E67" s="31" t="s">
        <v>155</v>
      </c>
      <c r="F67" s="31" t="s">
        <v>96</v>
      </c>
      <c r="G67" s="32" t="s">
        <v>239</v>
      </c>
      <c r="H67" s="31" t="s">
        <v>19</v>
      </c>
      <c r="I67" s="33">
        <v>41088</v>
      </c>
      <c r="J67" s="34">
        <f t="shared" si="0"/>
        <v>6</v>
      </c>
      <c r="K67" s="35">
        <v>122</v>
      </c>
      <c r="L67" s="36">
        <v>3.99</v>
      </c>
      <c r="M67" s="37">
        <f t="shared" si="1"/>
        <v>486.78000000000003</v>
      </c>
    </row>
    <row r="68" spans="2:13" s="30" customFormat="1" x14ac:dyDescent="0.25">
      <c r="B68" s="9"/>
      <c r="C68" s="31">
        <v>23333</v>
      </c>
      <c r="D68" s="31" t="s">
        <v>156</v>
      </c>
      <c r="E68" s="31" t="s">
        <v>87</v>
      </c>
      <c r="F68" s="31" t="s">
        <v>83</v>
      </c>
      <c r="G68" s="32" t="s">
        <v>240</v>
      </c>
      <c r="H68" s="31" t="s">
        <v>19</v>
      </c>
      <c r="I68" s="33">
        <v>41126</v>
      </c>
      <c r="J68" s="34">
        <f t="shared" ref="J68:J110" si="2">VALUE(MONTH(I68))</f>
        <v>8</v>
      </c>
      <c r="K68" s="35">
        <v>106</v>
      </c>
      <c r="L68" s="36">
        <v>4.5</v>
      </c>
      <c r="M68" s="37">
        <f t="shared" ref="M68:M110" si="3">L68*K68</f>
        <v>477</v>
      </c>
    </row>
    <row r="69" spans="2:13" s="30" customFormat="1" x14ac:dyDescent="0.25">
      <c r="B69" s="9"/>
      <c r="C69" s="31">
        <v>23263</v>
      </c>
      <c r="D69" s="31" t="s">
        <v>157</v>
      </c>
      <c r="E69" s="31" t="s">
        <v>80</v>
      </c>
      <c r="F69" s="31" t="s">
        <v>71</v>
      </c>
      <c r="G69" s="32" t="s">
        <v>236</v>
      </c>
      <c r="H69" s="31" t="s">
        <v>19</v>
      </c>
      <c r="I69" s="33">
        <v>41096</v>
      </c>
      <c r="J69" s="34">
        <f t="shared" si="2"/>
        <v>7</v>
      </c>
      <c r="K69" s="35">
        <v>73</v>
      </c>
      <c r="L69" s="36">
        <v>6.5</v>
      </c>
      <c r="M69" s="37">
        <f t="shared" si="3"/>
        <v>474.5</v>
      </c>
    </row>
    <row r="70" spans="2:13" s="30" customFormat="1" x14ac:dyDescent="0.25">
      <c r="B70" s="9"/>
      <c r="C70" s="31">
        <v>23270</v>
      </c>
      <c r="D70" s="31" t="s">
        <v>158</v>
      </c>
      <c r="E70" s="31" t="s">
        <v>159</v>
      </c>
      <c r="F70" s="31" t="s">
        <v>58</v>
      </c>
      <c r="G70" s="32" t="s">
        <v>244</v>
      </c>
      <c r="H70" s="31" t="s">
        <v>25</v>
      </c>
      <c r="I70" s="33">
        <v>41067</v>
      </c>
      <c r="J70" s="34">
        <f t="shared" si="2"/>
        <v>6</v>
      </c>
      <c r="K70" s="35">
        <v>67</v>
      </c>
      <c r="L70" s="36">
        <v>6.99</v>
      </c>
      <c r="M70" s="37">
        <f t="shared" si="3"/>
        <v>468.33000000000004</v>
      </c>
    </row>
    <row r="71" spans="2:13" s="30" customFormat="1" x14ac:dyDescent="0.25">
      <c r="B71" s="9"/>
      <c r="C71" s="31">
        <v>23272</v>
      </c>
      <c r="D71" s="31" t="s">
        <v>160</v>
      </c>
      <c r="E71" s="31" t="s">
        <v>161</v>
      </c>
      <c r="F71" s="31" t="s">
        <v>71</v>
      </c>
      <c r="G71" s="32" t="s">
        <v>236</v>
      </c>
      <c r="H71" s="31" t="s">
        <v>22</v>
      </c>
      <c r="I71" s="33">
        <v>41121</v>
      </c>
      <c r="J71" s="34">
        <f t="shared" si="2"/>
        <v>7</v>
      </c>
      <c r="K71" s="35">
        <v>71</v>
      </c>
      <c r="L71" s="36">
        <v>6.5</v>
      </c>
      <c r="M71" s="37">
        <f t="shared" si="3"/>
        <v>461.5</v>
      </c>
    </row>
    <row r="72" spans="2:13" s="30" customFormat="1" x14ac:dyDescent="0.25">
      <c r="B72" s="9"/>
      <c r="C72" s="31">
        <v>23274</v>
      </c>
      <c r="D72" s="31" t="s">
        <v>162</v>
      </c>
      <c r="E72" s="31" t="s">
        <v>163</v>
      </c>
      <c r="F72" s="31" t="s">
        <v>142</v>
      </c>
      <c r="G72" s="32" t="s">
        <v>238</v>
      </c>
      <c r="H72" s="31" t="s">
        <v>25</v>
      </c>
      <c r="I72" s="33">
        <v>41143</v>
      </c>
      <c r="J72" s="34">
        <f t="shared" si="2"/>
        <v>8</v>
      </c>
      <c r="K72" s="35">
        <v>153</v>
      </c>
      <c r="L72" s="36">
        <v>3</v>
      </c>
      <c r="M72" s="37">
        <f t="shared" si="3"/>
        <v>459</v>
      </c>
    </row>
    <row r="73" spans="2:13" s="30" customFormat="1" x14ac:dyDescent="0.25">
      <c r="B73" s="9"/>
      <c r="C73" s="31">
        <v>23364</v>
      </c>
      <c r="D73" s="31" t="s">
        <v>164</v>
      </c>
      <c r="E73" s="31" t="s">
        <v>165</v>
      </c>
      <c r="F73" s="31" t="s">
        <v>39</v>
      </c>
      <c r="G73" s="32" t="s">
        <v>237</v>
      </c>
      <c r="H73" s="31" t="s">
        <v>19</v>
      </c>
      <c r="I73" s="33">
        <v>41093</v>
      </c>
      <c r="J73" s="34">
        <f t="shared" si="2"/>
        <v>7</v>
      </c>
      <c r="K73" s="35">
        <v>47</v>
      </c>
      <c r="L73" s="36">
        <v>9</v>
      </c>
      <c r="M73" s="37">
        <f t="shared" si="3"/>
        <v>423</v>
      </c>
    </row>
    <row r="74" spans="2:13" s="30" customFormat="1" x14ac:dyDescent="0.25">
      <c r="B74" s="9"/>
      <c r="C74" s="31">
        <v>23276</v>
      </c>
      <c r="D74" s="31" t="s">
        <v>166</v>
      </c>
      <c r="E74" s="31" t="s">
        <v>167</v>
      </c>
      <c r="F74" s="31" t="s">
        <v>107</v>
      </c>
      <c r="G74" s="32" t="s">
        <v>241</v>
      </c>
      <c r="H74" s="31" t="s">
        <v>19</v>
      </c>
      <c r="I74" s="33">
        <v>41122</v>
      </c>
      <c r="J74" s="34">
        <f t="shared" si="2"/>
        <v>8</v>
      </c>
      <c r="K74" s="35">
        <v>65</v>
      </c>
      <c r="L74" s="36">
        <v>6.5</v>
      </c>
      <c r="M74" s="37">
        <f t="shared" si="3"/>
        <v>422.5</v>
      </c>
    </row>
    <row r="75" spans="2:13" s="30" customFormat="1" x14ac:dyDescent="0.25">
      <c r="B75" s="9"/>
      <c r="C75" s="31">
        <v>23343</v>
      </c>
      <c r="D75" s="31" t="s">
        <v>168</v>
      </c>
      <c r="E75" s="31" t="s">
        <v>117</v>
      </c>
      <c r="F75" s="31" t="s">
        <v>36</v>
      </c>
      <c r="G75" s="32" t="s">
        <v>242</v>
      </c>
      <c r="H75" s="31" t="s">
        <v>19</v>
      </c>
      <c r="I75" s="33">
        <v>41144</v>
      </c>
      <c r="J75" s="34">
        <f t="shared" si="2"/>
        <v>8</v>
      </c>
      <c r="K75" s="35">
        <v>42</v>
      </c>
      <c r="L75" s="36">
        <v>9.99</v>
      </c>
      <c r="M75" s="37">
        <f t="shared" si="3"/>
        <v>419.58</v>
      </c>
    </row>
    <row r="76" spans="2:13" s="30" customFormat="1" x14ac:dyDescent="0.25">
      <c r="B76" s="9"/>
      <c r="C76" s="31">
        <v>23344</v>
      </c>
      <c r="D76" s="31" t="s">
        <v>169</v>
      </c>
      <c r="E76" s="31" t="s">
        <v>170</v>
      </c>
      <c r="F76" s="31" t="s">
        <v>71</v>
      </c>
      <c r="G76" s="32" t="s">
        <v>236</v>
      </c>
      <c r="H76" s="31" t="s">
        <v>19</v>
      </c>
      <c r="I76" s="33">
        <v>41265</v>
      </c>
      <c r="J76" s="34">
        <f t="shared" si="2"/>
        <v>12</v>
      </c>
      <c r="K76" s="35">
        <v>64</v>
      </c>
      <c r="L76" s="36">
        <v>6.5</v>
      </c>
      <c r="M76" s="37">
        <f t="shared" si="3"/>
        <v>416</v>
      </c>
    </row>
    <row r="77" spans="2:13" s="30" customFormat="1" x14ac:dyDescent="0.25">
      <c r="B77" s="9"/>
      <c r="C77" s="31">
        <v>23299</v>
      </c>
      <c r="D77" s="31" t="s">
        <v>171</v>
      </c>
      <c r="E77" s="31" t="s">
        <v>131</v>
      </c>
      <c r="F77" s="31" t="s">
        <v>96</v>
      </c>
      <c r="G77" s="32" t="s">
        <v>239</v>
      </c>
      <c r="H77" s="31" t="s">
        <v>25</v>
      </c>
      <c r="I77" s="33">
        <v>41087</v>
      </c>
      <c r="J77" s="34">
        <f t="shared" si="2"/>
        <v>6</v>
      </c>
      <c r="K77" s="35">
        <v>104</v>
      </c>
      <c r="L77" s="36">
        <v>3.99</v>
      </c>
      <c r="M77" s="37">
        <f t="shared" si="3"/>
        <v>414.96000000000004</v>
      </c>
    </row>
    <row r="78" spans="2:13" s="30" customFormat="1" x14ac:dyDescent="0.25">
      <c r="B78" s="9"/>
      <c r="C78" s="31">
        <v>23310</v>
      </c>
      <c r="D78" s="31" t="s">
        <v>172</v>
      </c>
      <c r="E78" s="31" t="s">
        <v>27</v>
      </c>
      <c r="F78" s="31" t="s">
        <v>36</v>
      </c>
      <c r="G78" s="32" t="s">
        <v>242</v>
      </c>
      <c r="H78" s="31" t="s">
        <v>19</v>
      </c>
      <c r="I78" s="33">
        <v>41077</v>
      </c>
      <c r="J78" s="34">
        <f t="shared" si="2"/>
        <v>6</v>
      </c>
      <c r="K78" s="35">
        <v>41</v>
      </c>
      <c r="L78" s="36">
        <v>9.99</v>
      </c>
      <c r="M78" s="37">
        <f t="shared" si="3"/>
        <v>409.59000000000003</v>
      </c>
    </row>
    <row r="79" spans="2:13" s="30" customFormat="1" x14ac:dyDescent="0.25">
      <c r="B79" s="9"/>
      <c r="C79" s="31">
        <v>23358</v>
      </c>
      <c r="D79" s="31" t="s">
        <v>173</v>
      </c>
      <c r="E79" s="31" t="s">
        <v>174</v>
      </c>
      <c r="F79" s="31" t="s">
        <v>36</v>
      </c>
      <c r="G79" s="32" t="s">
        <v>242</v>
      </c>
      <c r="H79" s="31" t="s">
        <v>25</v>
      </c>
      <c r="I79" s="33">
        <v>41071</v>
      </c>
      <c r="J79" s="34">
        <f t="shared" si="2"/>
        <v>6</v>
      </c>
      <c r="K79" s="35">
        <v>41</v>
      </c>
      <c r="L79" s="36">
        <v>9.99</v>
      </c>
      <c r="M79" s="37">
        <f t="shared" si="3"/>
        <v>409.59000000000003</v>
      </c>
    </row>
    <row r="80" spans="2:13" s="30" customFormat="1" x14ac:dyDescent="0.25">
      <c r="B80" s="9"/>
      <c r="C80" s="31">
        <v>23323</v>
      </c>
      <c r="D80" s="31" t="s">
        <v>175</v>
      </c>
      <c r="E80" s="31" t="s">
        <v>176</v>
      </c>
      <c r="F80" s="31" t="s">
        <v>142</v>
      </c>
      <c r="G80" s="32" t="s">
        <v>238</v>
      </c>
      <c r="H80" s="31" t="s">
        <v>19</v>
      </c>
      <c r="I80" s="33">
        <v>41272</v>
      </c>
      <c r="J80" s="34">
        <f t="shared" si="2"/>
        <v>12</v>
      </c>
      <c r="K80" s="35">
        <v>135</v>
      </c>
      <c r="L80" s="36">
        <v>3</v>
      </c>
      <c r="M80" s="37">
        <f t="shared" si="3"/>
        <v>405</v>
      </c>
    </row>
    <row r="81" spans="2:13" s="30" customFormat="1" x14ac:dyDescent="0.25">
      <c r="B81" s="9"/>
      <c r="C81" s="31">
        <v>23267</v>
      </c>
      <c r="D81" s="31" t="s">
        <v>177</v>
      </c>
      <c r="E81" s="31" t="s">
        <v>178</v>
      </c>
      <c r="F81" s="31" t="s">
        <v>142</v>
      </c>
      <c r="G81" s="32" t="s">
        <v>238</v>
      </c>
      <c r="H81" s="31" t="s">
        <v>19</v>
      </c>
      <c r="I81" s="33">
        <v>41101</v>
      </c>
      <c r="J81" s="34">
        <f t="shared" si="2"/>
        <v>7</v>
      </c>
      <c r="K81" s="35">
        <v>129</v>
      </c>
      <c r="L81" s="36">
        <v>3</v>
      </c>
      <c r="M81" s="37">
        <f t="shared" si="3"/>
        <v>387</v>
      </c>
    </row>
    <row r="82" spans="2:13" s="30" customFormat="1" x14ac:dyDescent="0.25">
      <c r="B82" s="9"/>
      <c r="C82" s="31">
        <v>23340</v>
      </c>
      <c r="D82" s="31" t="s">
        <v>179</v>
      </c>
      <c r="E82" s="31" t="s">
        <v>180</v>
      </c>
      <c r="F82" s="31" t="s">
        <v>105</v>
      </c>
      <c r="G82" s="32" t="s">
        <v>243</v>
      </c>
      <c r="H82" s="31" t="s">
        <v>19</v>
      </c>
      <c r="I82" s="33">
        <v>41095</v>
      </c>
      <c r="J82" s="34">
        <f t="shared" si="2"/>
        <v>7</v>
      </c>
      <c r="K82" s="35">
        <v>85</v>
      </c>
      <c r="L82" s="36">
        <v>4.5</v>
      </c>
      <c r="M82" s="37">
        <f t="shared" si="3"/>
        <v>382.5</v>
      </c>
    </row>
    <row r="83" spans="2:13" s="30" customFormat="1" x14ac:dyDescent="0.25">
      <c r="B83" s="9"/>
      <c r="C83" s="31">
        <v>23269</v>
      </c>
      <c r="D83" s="31" t="s">
        <v>181</v>
      </c>
      <c r="E83" s="31" t="s">
        <v>163</v>
      </c>
      <c r="F83" s="31" t="s">
        <v>142</v>
      </c>
      <c r="G83" s="32" t="s">
        <v>238</v>
      </c>
      <c r="H83" s="31" t="s">
        <v>19</v>
      </c>
      <c r="I83" s="33">
        <v>41063</v>
      </c>
      <c r="J83" s="34">
        <f t="shared" si="2"/>
        <v>6</v>
      </c>
      <c r="K83" s="35">
        <v>116</v>
      </c>
      <c r="L83" s="36">
        <v>3</v>
      </c>
      <c r="M83" s="37">
        <f t="shared" si="3"/>
        <v>348</v>
      </c>
    </row>
    <row r="84" spans="2:13" s="30" customFormat="1" x14ac:dyDescent="0.25">
      <c r="B84" s="9"/>
      <c r="C84" s="31">
        <v>23308</v>
      </c>
      <c r="D84" s="31" t="s">
        <v>182</v>
      </c>
      <c r="E84" s="31" t="s">
        <v>183</v>
      </c>
      <c r="F84" s="31" t="s">
        <v>142</v>
      </c>
      <c r="G84" s="32" t="s">
        <v>238</v>
      </c>
      <c r="H84" s="31" t="s">
        <v>25</v>
      </c>
      <c r="I84" s="33">
        <v>41099</v>
      </c>
      <c r="J84" s="34">
        <f t="shared" si="2"/>
        <v>7</v>
      </c>
      <c r="K84" s="35">
        <v>112</v>
      </c>
      <c r="L84" s="36">
        <v>3</v>
      </c>
      <c r="M84" s="37">
        <f t="shared" si="3"/>
        <v>336</v>
      </c>
    </row>
    <row r="85" spans="2:13" s="30" customFormat="1" x14ac:dyDescent="0.25">
      <c r="B85" s="9"/>
      <c r="C85" s="31">
        <v>23356</v>
      </c>
      <c r="D85" s="31" t="s">
        <v>184</v>
      </c>
      <c r="E85" s="31" t="s">
        <v>185</v>
      </c>
      <c r="F85" s="31" t="s">
        <v>96</v>
      </c>
      <c r="G85" s="32" t="s">
        <v>239</v>
      </c>
      <c r="H85" s="31" t="s">
        <v>19</v>
      </c>
      <c r="I85" s="33">
        <v>41081</v>
      </c>
      <c r="J85" s="34">
        <f t="shared" si="2"/>
        <v>6</v>
      </c>
      <c r="K85" s="35">
        <v>80</v>
      </c>
      <c r="L85" s="36">
        <v>3.99</v>
      </c>
      <c r="M85" s="37">
        <f t="shared" si="3"/>
        <v>319.20000000000005</v>
      </c>
    </row>
    <row r="86" spans="2:13" s="30" customFormat="1" x14ac:dyDescent="0.25">
      <c r="B86" s="9"/>
      <c r="C86" s="31">
        <v>23318</v>
      </c>
      <c r="D86" s="31" t="s">
        <v>186</v>
      </c>
      <c r="E86" s="31" t="s">
        <v>187</v>
      </c>
      <c r="F86" s="31" t="s">
        <v>71</v>
      </c>
      <c r="G86" s="32" t="s">
        <v>236</v>
      </c>
      <c r="H86" s="31" t="s">
        <v>19</v>
      </c>
      <c r="I86" s="33">
        <v>41099</v>
      </c>
      <c r="J86" s="34">
        <f t="shared" si="2"/>
        <v>7</v>
      </c>
      <c r="K86" s="35">
        <v>48</v>
      </c>
      <c r="L86" s="36">
        <v>6.5</v>
      </c>
      <c r="M86" s="37">
        <f t="shared" si="3"/>
        <v>312</v>
      </c>
    </row>
    <row r="87" spans="2:13" s="30" customFormat="1" x14ac:dyDescent="0.25">
      <c r="B87" s="9"/>
      <c r="C87" s="31">
        <v>23357</v>
      </c>
      <c r="D87" s="31" t="s">
        <v>188</v>
      </c>
      <c r="E87" s="31" t="s">
        <v>144</v>
      </c>
      <c r="F87" s="31" t="s">
        <v>74</v>
      </c>
      <c r="G87" s="32" t="s">
        <v>235</v>
      </c>
      <c r="H87" s="31" t="s">
        <v>25</v>
      </c>
      <c r="I87" s="33">
        <v>41107</v>
      </c>
      <c r="J87" s="34">
        <f t="shared" si="2"/>
        <v>7</v>
      </c>
      <c r="K87" s="35">
        <v>50</v>
      </c>
      <c r="L87" s="36">
        <v>6</v>
      </c>
      <c r="M87" s="37">
        <f t="shared" si="3"/>
        <v>300</v>
      </c>
    </row>
    <row r="88" spans="2:13" s="30" customFormat="1" x14ac:dyDescent="0.25">
      <c r="B88" s="9"/>
      <c r="C88" s="31">
        <v>23377</v>
      </c>
      <c r="D88" s="31" t="s">
        <v>189</v>
      </c>
      <c r="E88" s="31" t="s">
        <v>133</v>
      </c>
      <c r="F88" s="31" t="s">
        <v>107</v>
      </c>
      <c r="G88" s="32" t="s">
        <v>241</v>
      </c>
      <c r="H88" s="31" t="s">
        <v>19</v>
      </c>
      <c r="I88" s="33">
        <v>41075</v>
      </c>
      <c r="J88" s="34">
        <f t="shared" si="2"/>
        <v>6</v>
      </c>
      <c r="K88" s="35">
        <v>43</v>
      </c>
      <c r="L88" s="36">
        <v>6.5</v>
      </c>
      <c r="M88" s="37">
        <f t="shared" si="3"/>
        <v>279.5</v>
      </c>
    </row>
    <row r="89" spans="2:13" s="30" customFormat="1" x14ac:dyDescent="0.25">
      <c r="B89" s="9"/>
      <c r="C89" s="31">
        <v>23311</v>
      </c>
      <c r="D89" s="31" t="s">
        <v>190</v>
      </c>
      <c r="E89" s="31" t="s">
        <v>191</v>
      </c>
      <c r="F89" s="31" t="s">
        <v>18</v>
      </c>
      <c r="G89" s="32" t="s">
        <v>245</v>
      </c>
      <c r="H89" s="31" t="s">
        <v>25</v>
      </c>
      <c r="I89" s="33">
        <v>41072</v>
      </c>
      <c r="J89" s="34">
        <f t="shared" si="2"/>
        <v>6</v>
      </c>
      <c r="K89" s="35">
        <v>18</v>
      </c>
      <c r="L89" s="36">
        <v>14.5</v>
      </c>
      <c r="M89" s="37">
        <f t="shared" si="3"/>
        <v>261</v>
      </c>
    </row>
    <row r="90" spans="2:13" s="30" customFormat="1" x14ac:dyDescent="0.25">
      <c r="B90" s="9"/>
      <c r="C90" s="31">
        <v>23379</v>
      </c>
      <c r="D90" s="31" t="s">
        <v>192</v>
      </c>
      <c r="E90" s="31" t="s">
        <v>193</v>
      </c>
      <c r="F90" s="31" t="s">
        <v>96</v>
      </c>
      <c r="G90" s="32" t="s">
        <v>239</v>
      </c>
      <c r="H90" s="31" t="s">
        <v>19</v>
      </c>
      <c r="I90" s="33">
        <v>41270</v>
      </c>
      <c r="J90" s="34">
        <f t="shared" si="2"/>
        <v>12</v>
      </c>
      <c r="K90" s="35">
        <v>65</v>
      </c>
      <c r="L90" s="36">
        <v>3.99</v>
      </c>
      <c r="M90" s="37">
        <f t="shared" si="3"/>
        <v>259.35000000000002</v>
      </c>
    </row>
    <row r="91" spans="2:13" s="30" customFormat="1" x14ac:dyDescent="0.25">
      <c r="B91" s="9"/>
      <c r="C91" s="31">
        <v>23360</v>
      </c>
      <c r="D91" s="31" t="s">
        <v>194</v>
      </c>
      <c r="E91" s="31" t="s">
        <v>178</v>
      </c>
      <c r="F91" s="31" t="s">
        <v>58</v>
      </c>
      <c r="G91" s="32" t="s">
        <v>244</v>
      </c>
      <c r="H91" s="31" t="s">
        <v>19</v>
      </c>
      <c r="I91" s="33">
        <v>41073</v>
      </c>
      <c r="J91" s="34">
        <f t="shared" si="2"/>
        <v>6</v>
      </c>
      <c r="K91" s="35">
        <v>37</v>
      </c>
      <c r="L91" s="36">
        <v>6.99</v>
      </c>
      <c r="M91" s="37">
        <f t="shared" si="3"/>
        <v>258.63</v>
      </c>
    </row>
    <row r="92" spans="2:13" s="30" customFormat="1" x14ac:dyDescent="0.25">
      <c r="B92" s="9"/>
      <c r="C92" s="31">
        <v>23339</v>
      </c>
      <c r="D92" s="31" t="s">
        <v>195</v>
      </c>
      <c r="E92" s="31" t="s">
        <v>196</v>
      </c>
      <c r="F92" s="31" t="s">
        <v>74</v>
      </c>
      <c r="G92" s="32" t="s">
        <v>235</v>
      </c>
      <c r="H92" s="31" t="s">
        <v>19</v>
      </c>
      <c r="I92" s="33">
        <v>41101</v>
      </c>
      <c r="J92" s="34">
        <f t="shared" si="2"/>
        <v>7</v>
      </c>
      <c r="K92" s="35">
        <v>41</v>
      </c>
      <c r="L92" s="36">
        <v>6</v>
      </c>
      <c r="M92" s="37">
        <f t="shared" si="3"/>
        <v>246</v>
      </c>
    </row>
    <row r="93" spans="2:13" s="30" customFormat="1" x14ac:dyDescent="0.25">
      <c r="B93" s="9"/>
      <c r="C93" s="31">
        <v>23341</v>
      </c>
      <c r="D93" s="31" t="s">
        <v>197</v>
      </c>
      <c r="E93" s="31" t="s">
        <v>198</v>
      </c>
      <c r="F93" s="31" t="s">
        <v>142</v>
      </c>
      <c r="G93" s="32" t="s">
        <v>238</v>
      </c>
      <c r="H93" s="31" t="s">
        <v>25</v>
      </c>
      <c r="I93" s="33">
        <v>41026</v>
      </c>
      <c r="J93" s="34">
        <f t="shared" si="2"/>
        <v>4</v>
      </c>
      <c r="K93" s="35">
        <v>77</v>
      </c>
      <c r="L93" s="36">
        <v>3</v>
      </c>
      <c r="M93" s="37">
        <f t="shared" si="3"/>
        <v>231</v>
      </c>
    </row>
    <row r="94" spans="2:13" s="30" customFormat="1" x14ac:dyDescent="0.25">
      <c r="B94" s="9"/>
      <c r="C94" s="31">
        <v>23374</v>
      </c>
      <c r="D94" s="31" t="s">
        <v>199</v>
      </c>
      <c r="E94" s="31" t="s">
        <v>200</v>
      </c>
      <c r="F94" s="31" t="s">
        <v>96</v>
      </c>
      <c r="G94" s="32" t="s">
        <v>239</v>
      </c>
      <c r="H94" s="31" t="s">
        <v>19</v>
      </c>
      <c r="I94" s="33">
        <v>41257</v>
      </c>
      <c r="J94" s="34">
        <f t="shared" si="2"/>
        <v>12</v>
      </c>
      <c r="K94" s="35">
        <v>57</v>
      </c>
      <c r="L94" s="36">
        <v>3.99</v>
      </c>
      <c r="M94" s="37">
        <f t="shared" si="3"/>
        <v>227.43</v>
      </c>
    </row>
    <row r="95" spans="2:13" s="30" customFormat="1" x14ac:dyDescent="0.25">
      <c r="B95" s="9"/>
      <c r="C95" s="31">
        <v>23273</v>
      </c>
      <c r="D95" s="31" t="s">
        <v>201</v>
      </c>
      <c r="E95" s="31" t="s">
        <v>202</v>
      </c>
      <c r="F95" s="31" t="s">
        <v>36</v>
      </c>
      <c r="G95" s="32" t="s">
        <v>242</v>
      </c>
      <c r="H95" s="31" t="s">
        <v>19</v>
      </c>
      <c r="I95" s="33">
        <v>41256</v>
      </c>
      <c r="J95" s="34">
        <f t="shared" si="2"/>
        <v>12</v>
      </c>
      <c r="K95" s="35">
        <v>22</v>
      </c>
      <c r="L95" s="36">
        <v>9.99</v>
      </c>
      <c r="M95" s="37">
        <f t="shared" si="3"/>
        <v>219.78</v>
      </c>
    </row>
    <row r="96" spans="2:13" s="30" customFormat="1" x14ac:dyDescent="0.25">
      <c r="B96" s="9"/>
      <c r="C96" s="31">
        <v>23280</v>
      </c>
      <c r="D96" s="31" t="s">
        <v>203</v>
      </c>
      <c r="E96" s="31" t="s">
        <v>35</v>
      </c>
      <c r="F96" s="31" t="s">
        <v>58</v>
      </c>
      <c r="G96" s="32" t="s">
        <v>244</v>
      </c>
      <c r="H96" s="31" t="s">
        <v>19</v>
      </c>
      <c r="I96" s="33">
        <v>41002</v>
      </c>
      <c r="J96" s="34">
        <f t="shared" si="2"/>
        <v>4</v>
      </c>
      <c r="K96" s="35">
        <v>30</v>
      </c>
      <c r="L96" s="36">
        <v>6.99</v>
      </c>
      <c r="M96" s="37">
        <f t="shared" si="3"/>
        <v>209.70000000000002</v>
      </c>
    </row>
    <row r="97" spans="2:13" s="30" customFormat="1" x14ac:dyDescent="0.25">
      <c r="B97" s="9"/>
      <c r="C97" s="31">
        <v>23370</v>
      </c>
      <c r="D97" s="31" t="s">
        <v>204</v>
      </c>
      <c r="E97" s="31" t="s">
        <v>73</v>
      </c>
      <c r="F97" s="31" t="s">
        <v>142</v>
      </c>
      <c r="G97" s="32" t="s">
        <v>238</v>
      </c>
      <c r="H97" s="31" t="s">
        <v>25</v>
      </c>
      <c r="I97" s="33">
        <v>41028</v>
      </c>
      <c r="J97" s="34">
        <f t="shared" si="2"/>
        <v>4</v>
      </c>
      <c r="K97" s="35">
        <v>63</v>
      </c>
      <c r="L97" s="36">
        <v>3</v>
      </c>
      <c r="M97" s="37">
        <f t="shared" si="3"/>
        <v>189</v>
      </c>
    </row>
    <row r="98" spans="2:13" s="30" customFormat="1" x14ac:dyDescent="0.25">
      <c r="B98" s="9"/>
      <c r="C98" s="31">
        <v>23372</v>
      </c>
      <c r="D98" s="31" t="s">
        <v>205</v>
      </c>
      <c r="E98" s="31" t="s">
        <v>206</v>
      </c>
      <c r="F98" s="31" t="s">
        <v>107</v>
      </c>
      <c r="G98" s="32" t="s">
        <v>241</v>
      </c>
      <c r="H98" s="31" t="s">
        <v>19</v>
      </c>
      <c r="I98" s="33">
        <v>41255</v>
      </c>
      <c r="J98" s="34">
        <f t="shared" si="2"/>
        <v>12</v>
      </c>
      <c r="K98" s="35">
        <v>22</v>
      </c>
      <c r="L98" s="36">
        <v>6.5</v>
      </c>
      <c r="M98" s="37">
        <f t="shared" si="3"/>
        <v>143</v>
      </c>
    </row>
    <row r="99" spans="2:13" s="30" customFormat="1" x14ac:dyDescent="0.25">
      <c r="B99" s="9"/>
      <c r="C99" s="31">
        <v>23265</v>
      </c>
      <c r="D99" s="31" t="s">
        <v>207</v>
      </c>
      <c r="E99" s="31" t="s">
        <v>208</v>
      </c>
      <c r="F99" s="31" t="s">
        <v>36</v>
      </c>
      <c r="G99" s="32" t="s">
        <v>242</v>
      </c>
      <c r="H99" s="31" t="s">
        <v>25</v>
      </c>
      <c r="I99" s="33">
        <v>41248</v>
      </c>
      <c r="J99" s="34">
        <f t="shared" si="2"/>
        <v>12</v>
      </c>
      <c r="K99" s="35">
        <v>14</v>
      </c>
      <c r="L99" s="36">
        <v>9.99</v>
      </c>
      <c r="M99" s="37">
        <f t="shared" si="3"/>
        <v>139.86000000000001</v>
      </c>
    </row>
    <row r="100" spans="2:13" s="30" customFormat="1" x14ac:dyDescent="0.25">
      <c r="B100" s="9"/>
      <c r="C100" s="31">
        <v>23346</v>
      </c>
      <c r="D100" s="31" t="s">
        <v>209</v>
      </c>
      <c r="E100" s="31" t="s">
        <v>125</v>
      </c>
      <c r="F100" s="31" t="s">
        <v>36</v>
      </c>
      <c r="G100" s="32" t="s">
        <v>242</v>
      </c>
      <c r="H100" s="31" t="s">
        <v>19</v>
      </c>
      <c r="I100" s="33">
        <v>41119</v>
      </c>
      <c r="J100" s="34">
        <f t="shared" si="2"/>
        <v>7</v>
      </c>
      <c r="K100" s="35">
        <v>13</v>
      </c>
      <c r="L100" s="36">
        <v>9.99</v>
      </c>
      <c r="M100" s="37">
        <f t="shared" si="3"/>
        <v>129.87</v>
      </c>
    </row>
    <row r="101" spans="2:13" s="30" customFormat="1" x14ac:dyDescent="0.25">
      <c r="B101" s="9"/>
      <c r="C101" s="31">
        <v>23312</v>
      </c>
      <c r="D101" s="31" t="s">
        <v>210</v>
      </c>
      <c r="E101" s="31" t="s">
        <v>211</v>
      </c>
      <c r="F101" s="31" t="s">
        <v>96</v>
      </c>
      <c r="G101" s="32" t="s">
        <v>239</v>
      </c>
      <c r="H101" s="31" t="s">
        <v>19</v>
      </c>
      <c r="I101" s="33">
        <v>41096</v>
      </c>
      <c r="J101" s="34">
        <f t="shared" si="2"/>
        <v>7</v>
      </c>
      <c r="K101" s="35">
        <v>28</v>
      </c>
      <c r="L101" s="36">
        <v>3.99</v>
      </c>
      <c r="M101" s="37">
        <f t="shared" si="3"/>
        <v>111.72</v>
      </c>
    </row>
    <row r="102" spans="2:13" s="30" customFormat="1" x14ac:dyDescent="0.25">
      <c r="B102" s="9"/>
      <c r="C102" s="31">
        <v>23355</v>
      </c>
      <c r="D102" s="31" t="s">
        <v>212</v>
      </c>
      <c r="E102" s="31" t="s">
        <v>121</v>
      </c>
      <c r="F102" s="31" t="s">
        <v>83</v>
      </c>
      <c r="G102" s="32" t="s">
        <v>240</v>
      </c>
      <c r="H102" s="31" t="s">
        <v>19</v>
      </c>
      <c r="I102" s="33">
        <v>41026</v>
      </c>
      <c r="J102" s="34">
        <f t="shared" si="2"/>
        <v>4</v>
      </c>
      <c r="K102" s="35">
        <v>16</v>
      </c>
      <c r="L102" s="36">
        <v>4.5</v>
      </c>
      <c r="M102" s="37">
        <f t="shared" si="3"/>
        <v>72</v>
      </c>
    </row>
    <row r="103" spans="2:13" s="30" customFormat="1" x14ac:dyDescent="0.25">
      <c r="B103" s="9"/>
      <c r="C103" s="31">
        <v>23322</v>
      </c>
      <c r="D103" s="31" t="s">
        <v>213</v>
      </c>
      <c r="E103" s="31" t="s">
        <v>85</v>
      </c>
      <c r="F103" s="31" t="s">
        <v>142</v>
      </c>
      <c r="G103" s="32" t="s">
        <v>238</v>
      </c>
      <c r="H103" s="31" t="s">
        <v>25</v>
      </c>
      <c r="I103" s="33">
        <v>41009</v>
      </c>
      <c r="J103" s="34">
        <f t="shared" si="2"/>
        <v>4</v>
      </c>
      <c r="K103" s="35">
        <v>20</v>
      </c>
      <c r="L103" s="36">
        <v>3</v>
      </c>
      <c r="M103" s="37">
        <f t="shared" si="3"/>
        <v>60</v>
      </c>
    </row>
    <row r="104" spans="2:13" s="30" customFormat="1" x14ac:dyDescent="0.25">
      <c r="B104" s="9"/>
      <c r="C104" s="31">
        <v>23298</v>
      </c>
      <c r="D104" s="31" t="s">
        <v>214</v>
      </c>
      <c r="E104" s="31" t="s">
        <v>215</v>
      </c>
      <c r="F104" s="31" t="s">
        <v>83</v>
      </c>
      <c r="G104" s="32" t="s">
        <v>240</v>
      </c>
      <c r="H104" s="31" t="s">
        <v>22</v>
      </c>
      <c r="I104" s="33">
        <v>41118</v>
      </c>
      <c r="J104" s="34">
        <f t="shared" si="2"/>
        <v>7</v>
      </c>
      <c r="K104" s="35">
        <v>12</v>
      </c>
      <c r="L104" s="36">
        <v>4.5</v>
      </c>
      <c r="M104" s="37">
        <f t="shared" si="3"/>
        <v>54</v>
      </c>
    </row>
    <row r="105" spans="2:13" s="30" customFormat="1" x14ac:dyDescent="0.25">
      <c r="B105" s="9"/>
      <c r="C105" s="31">
        <v>23367</v>
      </c>
      <c r="D105" s="31" t="s">
        <v>216</v>
      </c>
      <c r="E105" s="31" t="s">
        <v>217</v>
      </c>
      <c r="F105" s="31" t="s">
        <v>83</v>
      </c>
      <c r="G105" s="32" t="s">
        <v>240</v>
      </c>
      <c r="H105" s="31" t="s">
        <v>25</v>
      </c>
      <c r="I105" s="33">
        <v>41023</v>
      </c>
      <c r="J105" s="34">
        <f t="shared" si="2"/>
        <v>4</v>
      </c>
      <c r="K105" s="35">
        <v>10</v>
      </c>
      <c r="L105" s="36">
        <v>4.5</v>
      </c>
      <c r="M105" s="37">
        <f t="shared" si="3"/>
        <v>45</v>
      </c>
    </row>
    <row r="106" spans="2:13" s="30" customFormat="1" x14ac:dyDescent="0.25">
      <c r="B106" s="9"/>
      <c r="C106" s="31">
        <v>23334</v>
      </c>
      <c r="D106" s="31" t="s">
        <v>218</v>
      </c>
      <c r="E106" s="31" t="s">
        <v>113</v>
      </c>
      <c r="F106" s="31" t="s">
        <v>142</v>
      </c>
      <c r="G106" s="32" t="s">
        <v>238</v>
      </c>
      <c r="H106" s="31" t="s">
        <v>19</v>
      </c>
      <c r="I106" s="33">
        <v>41260</v>
      </c>
      <c r="J106" s="34">
        <f t="shared" si="2"/>
        <v>12</v>
      </c>
      <c r="K106" s="35">
        <v>14</v>
      </c>
      <c r="L106" s="36">
        <v>3</v>
      </c>
      <c r="M106" s="37">
        <f t="shared" si="3"/>
        <v>42</v>
      </c>
    </row>
    <row r="107" spans="2:13" s="30" customFormat="1" x14ac:dyDescent="0.25">
      <c r="B107" s="9"/>
      <c r="C107" s="31">
        <v>23285</v>
      </c>
      <c r="D107" s="31" t="s">
        <v>219</v>
      </c>
      <c r="E107" s="31" t="s">
        <v>133</v>
      </c>
      <c r="F107" s="31" t="s">
        <v>105</v>
      </c>
      <c r="G107" s="32" t="s">
        <v>243</v>
      </c>
      <c r="H107" s="31" t="s">
        <v>25</v>
      </c>
      <c r="I107" s="33">
        <v>41114</v>
      </c>
      <c r="J107" s="34">
        <f t="shared" si="2"/>
        <v>7</v>
      </c>
      <c r="K107" s="35">
        <v>9</v>
      </c>
      <c r="L107" s="36">
        <v>4.5</v>
      </c>
      <c r="M107" s="37">
        <f t="shared" si="3"/>
        <v>40.5</v>
      </c>
    </row>
    <row r="108" spans="2:13" s="30" customFormat="1" x14ac:dyDescent="0.25">
      <c r="B108" s="9"/>
      <c r="C108" s="31">
        <v>23375</v>
      </c>
      <c r="D108" s="31" t="s">
        <v>220</v>
      </c>
      <c r="E108" s="31" t="s">
        <v>121</v>
      </c>
      <c r="F108" s="31" t="s">
        <v>58</v>
      </c>
      <c r="G108" s="32" t="s">
        <v>244</v>
      </c>
      <c r="H108" s="31" t="s">
        <v>25</v>
      </c>
      <c r="I108" s="33">
        <v>41029</v>
      </c>
      <c r="J108" s="34">
        <f t="shared" si="2"/>
        <v>4</v>
      </c>
      <c r="K108" s="35">
        <v>5</v>
      </c>
      <c r="L108" s="36">
        <v>6.99</v>
      </c>
      <c r="M108" s="37">
        <f t="shared" si="3"/>
        <v>34.950000000000003</v>
      </c>
    </row>
    <row r="109" spans="2:13" s="30" customFormat="1" x14ac:dyDescent="0.25">
      <c r="B109" s="9"/>
      <c r="C109" s="31">
        <v>23336</v>
      </c>
      <c r="D109" s="31" t="s">
        <v>221</v>
      </c>
      <c r="E109" s="31" t="s">
        <v>222</v>
      </c>
      <c r="F109" s="31" t="s">
        <v>105</v>
      </c>
      <c r="G109" s="32" t="s">
        <v>243</v>
      </c>
      <c r="H109" s="31" t="s">
        <v>25</v>
      </c>
      <c r="I109" s="33">
        <v>41091</v>
      </c>
      <c r="J109" s="34">
        <f t="shared" si="2"/>
        <v>7</v>
      </c>
      <c r="K109" s="35">
        <v>7</v>
      </c>
      <c r="L109" s="36">
        <v>4.5</v>
      </c>
      <c r="M109" s="37">
        <f t="shared" si="3"/>
        <v>31.5</v>
      </c>
    </row>
    <row r="110" spans="2:13" s="30" customFormat="1" x14ac:dyDescent="0.25">
      <c r="B110" s="9"/>
      <c r="C110" s="31">
        <v>23279</v>
      </c>
      <c r="D110" s="31" t="s">
        <v>223</v>
      </c>
      <c r="E110" s="31" t="s">
        <v>196</v>
      </c>
      <c r="F110" s="31" t="s">
        <v>142</v>
      </c>
      <c r="G110" s="32" t="s">
        <v>238</v>
      </c>
      <c r="H110" s="31" t="s">
        <v>19</v>
      </c>
      <c r="I110" s="33">
        <v>41020</v>
      </c>
      <c r="J110" s="34">
        <f t="shared" si="2"/>
        <v>4</v>
      </c>
      <c r="K110" s="35">
        <v>10</v>
      </c>
      <c r="L110" s="36">
        <v>3</v>
      </c>
      <c r="M110" s="37">
        <f t="shared" si="3"/>
        <v>30</v>
      </c>
    </row>
    <row r="111" spans="2:13" x14ac:dyDescent="0.25">
      <c r="C111" s="45"/>
      <c r="D111" s="45"/>
      <c r="E111" s="45"/>
      <c r="F111" s="45"/>
      <c r="G111" s="45"/>
      <c r="H111" s="45"/>
      <c r="I111" s="45"/>
      <c r="J111" s="45"/>
      <c r="K111" s="45"/>
      <c r="L111" s="45"/>
      <c r="M111" s="45"/>
    </row>
  </sheetData>
  <autoFilter ref="C3:M110"/>
  <conditionalFormatting sqref="C4:M110">
    <cfRule type="expression" dxfId="40" priority="3">
      <formula>MOD(ROW(C4),2)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rowBreaks count="1" manualBreakCount="1">
    <brk id="57" max="18"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68"/>
  <sheetViews>
    <sheetView showGridLines="0" zoomScale="80" workbookViewId="0">
      <selection activeCell="A158" sqref="A158"/>
    </sheetView>
  </sheetViews>
  <sheetFormatPr defaultColWidth="9.33203125" defaultRowHeight="12.5" outlineLevelRow="1" x14ac:dyDescent="0.25"/>
  <cols>
    <col min="1" max="5" width="9.33203125" style="2"/>
    <col min="6" max="6" width="15.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0" ht="13" x14ac:dyDescent="0.3">
      <c r="A1" s="3" t="str">
        <f>Introduction!A1</f>
        <v>Problem Solving with Excel</v>
      </c>
    </row>
    <row r="2" spans="1:10" ht="13" x14ac:dyDescent="0.3">
      <c r="A2" s="3" t="str">
        <f>Introduction!A2</f>
        <v>Week 3</v>
      </c>
    </row>
    <row r="3" spans="1:10" ht="13" x14ac:dyDescent="0.3">
      <c r="A3" s="3" t="str">
        <f>Introduction!A3</f>
        <v>Pivot Tables</v>
      </c>
    </row>
    <row r="4" spans="1:10" ht="13" x14ac:dyDescent="0.3">
      <c r="A4" s="3" t="str">
        <f ca="1">MID(CELL("Filename",I7),SEARCH("]",CELL("Filename",I7),1)+1,100)</f>
        <v>Section 1 - Create Pivot Table</v>
      </c>
    </row>
    <row r="7" spans="1:10" ht="27.65" customHeight="1" x14ac:dyDescent="0.45">
      <c r="B7" s="5" t="s">
        <v>260</v>
      </c>
    </row>
    <row r="8" spans="1:10" ht="18" hidden="1" customHeight="1" outlineLevel="1" x14ac:dyDescent="0.3">
      <c r="F8" s="46" t="s">
        <v>264</v>
      </c>
      <c r="G8"/>
    </row>
    <row r="9" spans="1:10" ht="53.15" hidden="1" customHeight="1" outlineLevel="1" x14ac:dyDescent="0.3">
      <c r="F9"/>
      <c r="G9"/>
      <c r="H9"/>
      <c r="I9"/>
      <c r="J9"/>
    </row>
    <row r="10" spans="1:10" ht="53.15" hidden="1" customHeight="1" outlineLevel="1" x14ac:dyDescent="0.3">
      <c r="F10"/>
      <c r="G10"/>
      <c r="H10"/>
      <c r="I10"/>
      <c r="J10"/>
    </row>
    <row r="11" spans="1:10" ht="66" hidden="1" customHeight="1" outlineLevel="1" x14ac:dyDescent="0.3">
      <c r="F11"/>
      <c r="G11"/>
      <c r="H11"/>
      <c r="I11"/>
      <c r="J11"/>
    </row>
    <row r="12" spans="1:10" ht="26.5" hidden="1" customHeight="1" outlineLevel="1" x14ac:dyDescent="0.3">
      <c r="F12"/>
      <c r="G12"/>
      <c r="H12"/>
      <c r="I12"/>
      <c r="J12"/>
    </row>
    <row r="13" spans="1:10" ht="53.15" hidden="1" customHeight="1" outlineLevel="1" x14ac:dyDescent="0.3">
      <c r="F13"/>
      <c r="G13"/>
      <c r="H13"/>
      <c r="I13"/>
      <c r="J13"/>
    </row>
    <row r="14" spans="1:10" ht="13.4" hidden="1" customHeight="1" outlineLevel="1" x14ac:dyDescent="0.3">
      <c r="F14"/>
      <c r="G14"/>
      <c r="H14"/>
      <c r="I14"/>
      <c r="J14"/>
    </row>
    <row r="15" spans="1:10" ht="13.4" hidden="1" customHeight="1" outlineLevel="1" x14ac:dyDescent="0.3">
      <c r="F15"/>
      <c r="G15"/>
      <c r="H15"/>
      <c r="I15"/>
      <c r="J15"/>
    </row>
    <row r="16" spans="1:10" ht="13.4" hidden="1" customHeight="1" outlineLevel="1" x14ac:dyDescent="0.3">
      <c r="F16"/>
      <c r="G16"/>
      <c r="H16"/>
      <c r="I16"/>
      <c r="J16"/>
    </row>
    <row r="17" spans="6:10" ht="13.4" hidden="1" customHeight="1" outlineLevel="1" x14ac:dyDescent="0.3">
      <c r="F17"/>
      <c r="G17"/>
      <c r="H17"/>
      <c r="I17"/>
      <c r="J17"/>
    </row>
    <row r="18" spans="6:10" ht="13.4" hidden="1" customHeight="1" outlineLevel="1" x14ac:dyDescent="0.3">
      <c r="F18"/>
      <c r="G18"/>
      <c r="H18"/>
      <c r="I18"/>
      <c r="J18"/>
    </row>
    <row r="19" spans="6:10" ht="13.4" hidden="1" customHeight="1" outlineLevel="1" x14ac:dyDescent="0.3">
      <c r="F19"/>
      <c r="G19"/>
      <c r="H19"/>
      <c r="I19"/>
      <c r="J19"/>
    </row>
    <row r="20" spans="6:10" ht="13.4" hidden="1" customHeight="1" outlineLevel="1" x14ac:dyDescent="0.3">
      <c r="F20"/>
      <c r="G20"/>
      <c r="H20"/>
      <c r="I20"/>
      <c r="J20"/>
    </row>
    <row r="21" spans="6:10" ht="13.4" hidden="1" customHeight="1" outlineLevel="1" x14ac:dyDescent="0.3">
      <c r="F21"/>
      <c r="G21"/>
      <c r="H21"/>
      <c r="I21"/>
      <c r="J21"/>
    </row>
    <row r="22" spans="6:10" ht="13.4" hidden="1" customHeight="1" outlineLevel="1" x14ac:dyDescent="0.3">
      <c r="F22"/>
      <c r="G22"/>
      <c r="H22"/>
      <c r="I22"/>
      <c r="J22"/>
    </row>
    <row r="23" spans="6:10" ht="13.4" hidden="1" customHeight="1" outlineLevel="1" x14ac:dyDescent="0.3">
      <c r="F23"/>
      <c r="G23"/>
      <c r="H23"/>
      <c r="I23"/>
      <c r="J23"/>
    </row>
    <row r="24" spans="6:10" ht="13.4" hidden="1" customHeight="1" outlineLevel="1" x14ac:dyDescent="0.3">
      <c r="F24"/>
      <c r="G24"/>
      <c r="H24"/>
      <c r="I24"/>
      <c r="J24"/>
    </row>
    <row r="25" spans="6:10" ht="13.4" hidden="1" customHeight="1" outlineLevel="1" x14ac:dyDescent="0.3">
      <c r="F25"/>
      <c r="G25"/>
      <c r="H25"/>
      <c r="I25"/>
      <c r="J25"/>
    </row>
    <row r="26" spans="6:10" ht="13.4" hidden="1" customHeight="1" outlineLevel="1" x14ac:dyDescent="0.3">
      <c r="F26"/>
      <c r="G26"/>
      <c r="H26"/>
      <c r="I26"/>
      <c r="J26"/>
    </row>
    <row r="27" spans="6:10" ht="13.4" hidden="1" customHeight="1" outlineLevel="1" x14ac:dyDescent="0.3">
      <c r="F27"/>
      <c r="G27"/>
      <c r="H27"/>
      <c r="I27"/>
      <c r="J27"/>
    </row>
    <row r="28" spans="6:10" ht="13.4" hidden="1" customHeight="1" outlineLevel="1" x14ac:dyDescent="0.3">
      <c r="F28"/>
      <c r="G28"/>
      <c r="H28"/>
      <c r="I28"/>
      <c r="J28"/>
    </row>
    <row r="29" spans="6:10" ht="13.4" hidden="1" customHeight="1" outlineLevel="1" x14ac:dyDescent="0.3">
      <c r="F29"/>
      <c r="G29"/>
      <c r="H29"/>
      <c r="I29"/>
      <c r="J29"/>
    </row>
    <row r="30" spans="6:10" ht="13.4" hidden="1" customHeight="1" outlineLevel="1" x14ac:dyDescent="0.3">
      <c r="F30"/>
      <c r="G30"/>
      <c r="H30"/>
      <c r="I30"/>
      <c r="J30"/>
    </row>
    <row r="31" spans="6:10" ht="13.4" hidden="1" customHeight="1" outlineLevel="1" x14ac:dyDescent="0.3">
      <c r="F31"/>
      <c r="G31"/>
      <c r="H31"/>
      <c r="I31"/>
      <c r="J31"/>
    </row>
    <row r="32" spans="6:10" ht="13.4" hidden="1" customHeight="1" outlineLevel="1" x14ac:dyDescent="0.3">
      <c r="F32"/>
      <c r="G32"/>
      <c r="H32"/>
      <c r="I32"/>
      <c r="J32"/>
    </row>
    <row r="33" spans="6:10" ht="13.4" hidden="1" customHeight="1" outlineLevel="1" x14ac:dyDescent="0.3">
      <c r="F33"/>
      <c r="G33"/>
      <c r="H33"/>
      <c r="I33"/>
      <c r="J33"/>
    </row>
    <row r="34" spans="6:10" ht="13.4" hidden="1" customHeight="1" outlineLevel="1" x14ac:dyDescent="0.3">
      <c r="F34"/>
      <c r="G34"/>
      <c r="H34"/>
      <c r="I34"/>
      <c r="J34"/>
    </row>
    <row r="35" spans="6:10" ht="13.4" hidden="1" customHeight="1" outlineLevel="1" x14ac:dyDescent="0.3">
      <c r="F35"/>
      <c r="G35"/>
      <c r="H35"/>
      <c r="I35"/>
      <c r="J35"/>
    </row>
    <row r="36" spans="6:10" ht="13.4" hidden="1" customHeight="1" outlineLevel="1" x14ac:dyDescent="0.3">
      <c r="F36"/>
      <c r="G36"/>
      <c r="H36"/>
      <c r="I36"/>
      <c r="J36"/>
    </row>
    <row r="37" spans="6:10" ht="13.4" hidden="1" customHeight="1" outlineLevel="1" x14ac:dyDescent="0.3">
      <c r="F37"/>
      <c r="G37"/>
      <c r="H37"/>
      <c r="I37"/>
      <c r="J37"/>
    </row>
    <row r="38" spans="6:10" ht="13.4" hidden="1" customHeight="1" outlineLevel="1" x14ac:dyDescent="0.3">
      <c r="F38"/>
      <c r="G38"/>
      <c r="H38"/>
      <c r="I38"/>
      <c r="J38"/>
    </row>
    <row r="39" spans="6:10" ht="13.4" hidden="1" customHeight="1" outlineLevel="1" x14ac:dyDescent="0.3">
      <c r="F39"/>
      <c r="G39"/>
      <c r="H39"/>
      <c r="I39"/>
      <c r="J39"/>
    </row>
    <row r="40" spans="6:10" ht="13.4" hidden="1" customHeight="1" outlineLevel="1" x14ac:dyDescent="0.3">
      <c r="F40"/>
      <c r="G40"/>
      <c r="H40"/>
      <c r="I40"/>
      <c r="J40"/>
    </row>
    <row r="41" spans="6:10" ht="13.4" hidden="1" customHeight="1" outlineLevel="1" x14ac:dyDescent="0.3">
      <c r="F41"/>
      <c r="G41"/>
      <c r="H41"/>
      <c r="I41"/>
      <c r="J41"/>
    </row>
    <row r="42" spans="6:10" ht="13.4" hidden="1" customHeight="1" outlineLevel="1" x14ac:dyDescent="0.3">
      <c r="F42"/>
      <c r="G42"/>
      <c r="H42"/>
      <c r="I42"/>
      <c r="J42"/>
    </row>
    <row r="43" spans="6:10" ht="13.4" hidden="1" customHeight="1" outlineLevel="1" x14ac:dyDescent="0.3">
      <c r="F43"/>
      <c r="G43"/>
      <c r="H43"/>
      <c r="I43"/>
      <c r="J43"/>
    </row>
    <row r="44" spans="6:10" ht="13.4" hidden="1" customHeight="1" outlineLevel="1" x14ac:dyDescent="0.3">
      <c r="F44"/>
      <c r="G44"/>
      <c r="H44"/>
      <c r="I44"/>
      <c r="J44"/>
    </row>
    <row r="45" spans="6:10" ht="13.4" hidden="1" customHeight="1" outlineLevel="1" x14ac:dyDescent="0.3">
      <c r="F45"/>
      <c r="G45"/>
      <c r="H45"/>
      <c r="I45"/>
      <c r="J45"/>
    </row>
    <row r="46" spans="6:10" ht="13.4" hidden="1" customHeight="1" outlineLevel="1" x14ac:dyDescent="0.3">
      <c r="F46"/>
      <c r="G46"/>
      <c r="H46"/>
      <c r="I46"/>
      <c r="J46"/>
    </row>
    <row r="47" spans="6:10" ht="13.4" hidden="1" customHeight="1" outlineLevel="1" x14ac:dyDescent="0.3">
      <c r="F47"/>
      <c r="G47"/>
      <c r="H47"/>
      <c r="I47"/>
      <c r="J47"/>
    </row>
    <row r="48" spans="6:10" ht="13.4" hidden="1" customHeight="1" outlineLevel="1" x14ac:dyDescent="0.3">
      <c r="F48"/>
      <c r="G48"/>
      <c r="H48"/>
      <c r="I48"/>
      <c r="J48"/>
    </row>
    <row r="49" spans="6:10" ht="13.4" hidden="1" customHeight="1" outlineLevel="1" x14ac:dyDescent="0.3">
      <c r="F49"/>
      <c r="G49"/>
      <c r="H49"/>
      <c r="I49"/>
      <c r="J49"/>
    </row>
    <row r="50" spans="6:10" ht="13.4" hidden="1" customHeight="1" outlineLevel="1" x14ac:dyDescent="0.3">
      <c r="F50"/>
      <c r="G50"/>
      <c r="H50"/>
      <c r="I50"/>
      <c r="J50"/>
    </row>
    <row r="51" spans="6:10" ht="13.4" hidden="1" customHeight="1" outlineLevel="1" x14ac:dyDescent="0.3">
      <c r="F51"/>
      <c r="G51"/>
      <c r="H51"/>
      <c r="I51"/>
      <c r="J51"/>
    </row>
    <row r="52" spans="6:10" ht="13.4" hidden="1" customHeight="1" outlineLevel="1" x14ac:dyDescent="0.3">
      <c r="F52"/>
      <c r="G52"/>
      <c r="H52"/>
      <c r="I52"/>
      <c r="J52"/>
    </row>
    <row r="53" spans="6:10" ht="13.4" hidden="1" customHeight="1" outlineLevel="1" x14ac:dyDescent="0.3">
      <c r="F53"/>
      <c r="G53"/>
      <c r="H53"/>
      <c r="I53"/>
      <c r="J53"/>
    </row>
    <row r="54" spans="6:10" ht="13.4" hidden="1" customHeight="1" outlineLevel="1" x14ac:dyDescent="0.3">
      <c r="F54"/>
      <c r="G54"/>
      <c r="H54"/>
      <c r="I54"/>
      <c r="J54"/>
    </row>
    <row r="55" spans="6:10" ht="13.4" hidden="1" customHeight="1" outlineLevel="1" x14ac:dyDescent="0.3">
      <c r="F55"/>
      <c r="G55"/>
      <c r="H55"/>
      <c r="I55"/>
      <c r="J55"/>
    </row>
    <row r="56" spans="6:10" ht="13.4" hidden="1" customHeight="1" outlineLevel="1" x14ac:dyDescent="0.3">
      <c r="F56"/>
      <c r="G56"/>
      <c r="H56"/>
      <c r="I56"/>
      <c r="J56"/>
    </row>
    <row r="57" spans="6:10" ht="13.4" hidden="1" customHeight="1" outlineLevel="1" x14ac:dyDescent="0.3">
      <c r="F57"/>
      <c r="G57"/>
      <c r="H57"/>
      <c r="I57"/>
      <c r="J57"/>
    </row>
    <row r="58" spans="6:10" ht="13.4" hidden="1" customHeight="1" outlineLevel="1" x14ac:dyDescent="0.3">
      <c r="F58"/>
      <c r="G58"/>
      <c r="H58"/>
      <c r="I58"/>
      <c r="J58"/>
    </row>
    <row r="59" spans="6:10" ht="13.4" hidden="1" customHeight="1" outlineLevel="1" x14ac:dyDescent="0.3">
      <c r="F59"/>
      <c r="G59"/>
      <c r="H59"/>
      <c r="I59"/>
      <c r="J59"/>
    </row>
    <row r="60" spans="6:10" ht="13.4" hidden="1" customHeight="1" outlineLevel="1" x14ac:dyDescent="0.3">
      <c r="F60"/>
      <c r="G60"/>
      <c r="H60"/>
      <c r="I60"/>
      <c r="J60"/>
    </row>
    <row r="61" spans="6:10" ht="13.4" hidden="1" customHeight="1" outlineLevel="1" x14ac:dyDescent="0.3">
      <c r="F61"/>
      <c r="G61"/>
      <c r="H61"/>
      <c r="I61"/>
      <c r="J61"/>
    </row>
    <row r="62" spans="6:10" ht="13.4" hidden="1" customHeight="1" outlineLevel="1" x14ac:dyDescent="0.3">
      <c r="F62"/>
      <c r="G62"/>
      <c r="H62"/>
      <c r="I62"/>
      <c r="J62"/>
    </row>
    <row r="63" spans="6:10" ht="13.4" hidden="1" customHeight="1" outlineLevel="1" x14ac:dyDescent="0.3">
      <c r="F63"/>
      <c r="G63"/>
      <c r="H63"/>
      <c r="I63"/>
      <c r="J63"/>
    </row>
    <row r="64" spans="6:10" ht="13.4" hidden="1" customHeight="1" outlineLevel="1" x14ac:dyDescent="0.3">
      <c r="F64"/>
      <c r="G64"/>
      <c r="H64"/>
      <c r="I64"/>
      <c r="J64"/>
    </row>
    <row r="65" spans="6:10" ht="13.4" hidden="1" customHeight="1" outlineLevel="1" x14ac:dyDescent="0.3">
      <c r="F65"/>
      <c r="G65"/>
      <c r="H65"/>
      <c r="I65"/>
      <c r="J65"/>
    </row>
    <row r="66" spans="6:10" ht="13.4" hidden="1" customHeight="1" outlineLevel="1" x14ac:dyDescent="0.3">
      <c r="F66"/>
      <c r="G66"/>
      <c r="H66"/>
      <c r="I66"/>
      <c r="J66"/>
    </row>
    <row r="67" spans="6:10" ht="13.4" hidden="1" customHeight="1" outlineLevel="1" x14ac:dyDescent="0.3">
      <c r="F67"/>
      <c r="G67"/>
      <c r="H67"/>
      <c r="I67"/>
      <c r="J67"/>
    </row>
    <row r="68" spans="6:10" ht="13.4" hidden="1" customHeight="1" outlineLevel="1" x14ac:dyDescent="0.3">
      <c r="F68"/>
      <c r="G68"/>
      <c r="H68"/>
      <c r="I68"/>
      <c r="J68"/>
    </row>
    <row r="69" spans="6:10" ht="13.4" hidden="1" customHeight="1" outlineLevel="1" x14ac:dyDescent="0.3">
      <c r="F69"/>
      <c r="G69"/>
      <c r="H69"/>
      <c r="I69"/>
      <c r="J69"/>
    </row>
    <row r="70" spans="6:10" ht="13.4" hidden="1" customHeight="1" outlineLevel="1" x14ac:dyDescent="0.3">
      <c r="F70"/>
      <c r="G70"/>
      <c r="H70"/>
      <c r="I70"/>
      <c r="J70"/>
    </row>
    <row r="71" spans="6:10" ht="13.4" hidden="1" customHeight="1" outlineLevel="1" x14ac:dyDescent="0.3">
      <c r="F71"/>
      <c r="G71"/>
      <c r="H71"/>
      <c r="I71"/>
      <c r="J71"/>
    </row>
    <row r="72" spans="6:10" ht="13.4" hidden="1" customHeight="1" outlineLevel="1" x14ac:dyDescent="0.3">
      <c r="F72"/>
      <c r="G72"/>
      <c r="H72"/>
      <c r="I72"/>
      <c r="J72"/>
    </row>
    <row r="73" spans="6:10" ht="13.4" hidden="1" customHeight="1" outlineLevel="1" x14ac:dyDescent="0.3">
      <c r="F73"/>
      <c r="G73"/>
      <c r="H73"/>
      <c r="I73"/>
      <c r="J73"/>
    </row>
    <row r="74" spans="6:10" ht="13.4" hidden="1" customHeight="1" outlineLevel="1" x14ac:dyDescent="0.3">
      <c r="F74"/>
      <c r="G74"/>
      <c r="H74"/>
      <c r="I74"/>
      <c r="J74"/>
    </row>
    <row r="75" spans="6:10" ht="13.4" hidden="1" customHeight="1" outlineLevel="1" x14ac:dyDescent="0.3">
      <c r="F75"/>
      <c r="G75"/>
      <c r="H75"/>
      <c r="I75"/>
      <c r="J75"/>
    </row>
    <row r="76" spans="6:10" ht="13.4" hidden="1" customHeight="1" outlineLevel="1" x14ac:dyDescent="0.3">
      <c r="F76"/>
      <c r="G76"/>
      <c r="H76"/>
      <c r="I76"/>
      <c r="J76"/>
    </row>
    <row r="77" spans="6:10" ht="13.4" hidden="1" customHeight="1" outlineLevel="1" x14ac:dyDescent="0.3">
      <c r="F77"/>
      <c r="G77"/>
      <c r="H77"/>
      <c r="I77"/>
      <c r="J77"/>
    </row>
    <row r="78" spans="6:10" ht="13.4" hidden="1" customHeight="1" outlineLevel="1" x14ac:dyDescent="0.3">
      <c r="F78"/>
      <c r="G78"/>
      <c r="H78"/>
      <c r="I78"/>
      <c r="J78"/>
    </row>
    <row r="79" spans="6:10" ht="13.4" hidden="1" customHeight="1" outlineLevel="1" x14ac:dyDescent="0.3">
      <c r="F79"/>
      <c r="G79"/>
      <c r="H79"/>
      <c r="I79"/>
      <c r="J79"/>
    </row>
    <row r="80" spans="6:10" ht="13.4" hidden="1" customHeight="1" outlineLevel="1" x14ac:dyDescent="0.3">
      <c r="F80"/>
      <c r="G80"/>
      <c r="H80"/>
      <c r="I80"/>
      <c r="J80"/>
    </row>
    <row r="81" spans="6:10" ht="13.4" hidden="1" customHeight="1" outlineLevel="1" x14ac:dyDescent="0.3">
      <c r="F81"/>
      <c r="G81"/>
      <c r="H81"/>
      <c r="I81"/>
      <c r="J81"/>
    </row>
    <row r="82" spans="6:10" ht="13.4" hidden="1" customHeight="1" outlineLevel="1" x14ac:dyDescent="0.3">
      <c r="F82"/>
      <c r="G82"/>
      <c r="H82"/>
      <c r="I82"/>
      <c r="J82"/>
    </row>
    <row r="83" spans="6:10" ht="13.4" hidden="1" customHeight="1" outlineLevel="1" x14ac:dyDescent="0.3">
      <c r="F83"/>
      <c r="G83"/>
      <c r="H83"/>
      <c r="I83"/>
      <c r="J83"/>
    </row>
    <row r="84" spans="6:10" ht="13.4" hidden="1" customHeight="1" outlineLevel="1" x14ac:dyDescent="0.3">
      <c r="F84"/>
      <c r="G84"/>
      <c r="H84"/>
      <c r="I84"/>
      <c r="J84"/>
    </row>
    <row r="85" spans="6:10" ht="13.4" hidden="1" customHeight="1" outlineLevel="1" x14ac:dyDescent="0.3">
      <c r="F85"/>
      <c r="G85"/>
      <c r="H85"/>
      <c r="I85"/>
      <c r="J85"/>
    </row>
    <row r="86" spans="6:10" ht="13.4" hidden="1" customHeight="1" outlineLevel="1" x14ac:dyDescent="0.3">
      <c r="F86"/>
      <c r="G86"/>
      <c r="H86"/>
      <c r="I86"/>
      <c r="J86"/>
    </row>
    <row r="87" spans="6:10" ht="13.4" hidden="1" customHeight="1" outlineLevel="1" x14ac:dyDescent="0.3">
      <c r="F87"/>
      <c r="G87"/>
      <c r="H87"/>
      <c r="I87"/>
      <c r="J87"/>
    </row>
    <row r="88" spans="6:10" ht="13.4" hidden="1" customHeight="1" outlineLevel="1" x14ac:dyDescent="0.3">
      <c r="F88"/>
      <c r="G88"/>
      <c r="H88"/>
      <c r="I88"/>
      <c r="J88"/>
    </row>
    <row r="89" spans="6:10" ht="13.4" hidden="1" customHeight="1" outlineLevel="1" x14ac:dyDescent="0.3">
      <c r="F89"/>
      <c r="G89"/>
      <c r="H89"/>
      <c r="I89"/>
      <c r="J89"/>
    </row>
    <row r="90" spans="6:10" ht="13.4" hidden="1" customHeight="1" outlineLevel="1" x14ac:dyDescent="0.3">
      <c r="F90"/>
      <c r="G90"/>
      <c r="H90"/>
      <c r="I90"/>
      <c r="J90"/>
    </row>
    <row r="91" spans="6:10" ht="13.4" hidden="1" customHeight="1" outlineLevel="1" x14ac:dyDescent="0.3">
      <c r="F91"/>
      <c r="G91"/>
      <c r="H91"/>
      <c r="I91"/>
      <c r="J91"/>
    </row>
    <row r="92" spans="6:10" ht="13.4" hidden="1" customHeight="1" outlineLevel="1" x14ac:dyDescent="0.3">
      <c r="F92"/>
      <c r="G92"/>
      <c r="H92"/>
      <c r="I92"/>
      <c r="J92"/>
    </row>
    <row r="93" spans="6:10" ht="13.4" hidden="1" customHeight="1" outlineLevel="1" x14ac:dyDescent="0.3">
      <c r="F93"/>
      <c r="G93"/>
      <c r="H93"/>
      <c r="I93"/>
      <c r="J93"/>
    </row>
    <row r="94" spans="6:10" ht="13.4" hidden="1" customHeight="1" outlineLevel="1" x14ac:dyDescent="0.3">
      <c r="F94"/>
      <c r="G94"/>
      <c r="H94"/>
      <c r="I94"/>
      <c r="J94"/>
    </row>
    <row r="95" spans="6:10" ht="13.4" hidden="1" customHeight="1" outlineLevel="1" x14ac:dyDescent="0.3">
      <c r="F95"/>
      <c r="G95"/>
      <c r="H95"/>
      <c r="I95"/>
      <c r="J95"/>
    </row>
    <row r="96" spans="6:10" ht="13.4" hidden="1" customHeight="1" outlineLevel="1" x14ac:dyDescent="0.3">
      <c r="F96"/>
      <c r="G96"/>
      <c r="H96"/>
      <c r="I96"/>
      <c r="J96"/>
    </row>
    <row r="97" spans="6:10" ht="13.4" hidden="1" customHeight="1" outlineLevel="1" x14ac:dyDescent="0.3">
      <c r="F97"/>
      <c r="G97"/>
      <c r="H97"/>
      <c r="I97"/>
      <c r="J97"/>
    </row>
    <row r="98" spans="6:10" ht="13.4" hidden="1" customHeight="1" outlineLevel="1" x14ac:dyDescent="0.3">
      <c r="F98"/>
      <c r="G98"/>
      <c r="H98"/>
      <c r="I98"/>
      <c r="J98"/>
    </row>
    <row r="99" spans="6:10" ht="13.4" hidden="1" customHeight="1" outlineLevel="1" x14ac:dyDescent="0.3">
      <c r="F99"/>
      <c r="G99"/>
      <c r="H99"/>
      <c r="I99"/>
      <c r="J99"/>
    </row>
    <row r="100" spans="6:10" ht="13.4" hidden="1" customHeight="1" outlineLevel="1" x14ac:dyDescent="0.3">
      <c r="F100"/>
      <c r="G100"/>
      <c r="H100"/>
      <c r="I100"/>
      <c r="J100"/>
    </row>
    <row r="101" spans="6:10" ht="13.4" hidden="1" customHeight="1" outlineLevel="1" x14ac:dyDescent="0.3">
      <c r="F101"/>
      <c r="G101"/>
      <c r="H101"/>
      <c r="I101"/>
      <c r="J101"/>
    </row>
    <row r="102" spans="6:10" ht="13.4" hidden="1" customHeight="1" outlineLevel="1" x14ac:dyDescent="0.3">
      <c r="F102"/>
      <c r="G102"/>
      <c r="H102"/>
      <c r="I102"/>
      <c r="J102"/>
    </row>
    <row r="103" spans="6:10" ht="13.4" hidden="1" customHeight="1" outlineLevel="1" x14ac:dyDescent="0.3">
      <c r="F103"/>
      <c r="G103"/>
      <c r="H103"/>
      <c r="I103"/>
      <c r="J103"/>
    </row>
    <row r="104" spans="6:10" ht="13.4" hidden="1" customHeight="1" outlineLevel="1" x14ac:dyDescent="0.3">
      <c r="F104"/>
      <c r="G104"/>
      <c r="H104"/>
      <c r="I104"/>
      <c r="J104"/>
    </row>
    <row r="105" spans="6:10" ht="13.4" hidden="1" customHeight="1" outlineLevel="1" x14ac:dyDescent="0.3">
      <c r="F105"/>
      <c r="G105"/>
      <c r="H105"/>
      <c r="I105"/>
      <c r="J105"/>
    </row>
    <row r="106" spans="6:10" ht="13.4" hidden="1" customHeight="1" outlineLevel="1" x14ac:dyDescent="0.3">
      <c r="F106"/>
      <c r="G106"/>
      <c r="H106"/>
      <c r="I106"/>
      <c r="J106"/>
    </row>
    <row r="107" spans="6:10" ht="13.4" hidden="1" customHeight="1" outlineLevel="1" x14ac:dyDescent="0.3">
      <c r="F107"/>
      <c r="G107"/>
      <c r="H107"/>
      <c r="I107"/>
      <c r="J107"/>
    </row>
    <row r="108" spans="6:10" ht="13.4" hidden="1" customHeight="1" outlineLevel="1" x14ac:dyDescent="0.3">
      <c r="F108"/>
      <c r="G108"/>
      <c r="H108"/>
      <c r="I108"/>
      <c r="J108"/>
    </row>
    <row r="109" spans="6:10" ht="13.4" hidden="1" customHeight="1" outlineLevel="1" x14ac:dyDescent="0.3">
      <c r="F109"/>
      <c r="G109"/>
      <c r="H109"/>
      <c r="I109"/>
      <c r="J109"/>
    </row>
    <row r="110" spans="6:10" ht="13.4" hidden="1" customHeight="1" outlineLevel="1" x14ac:dyDescent="0.3">
      <c r="F110"/>
      <c r="G110"/>
      <c r="H110"/>
      <c r="I110"/>
      <c r="J110"/>
    </row>
    <row r="111" spans="6:10" ht="13.4" hidden="1" customHeight="1" outlineLevel="1" x14ac:dyDescent="0.3">
      <c r="F111"/>
      <c r="G111"/>
      <c r="H111"/>
      <c r="I111"/>
      <c r="J111"/>
    </row>
    <row r="112" spans="6:10" ht="13.4" hidden="1" customHeight="1" outlineLevel="1" x14ac:dyDescent="0.3">
      <c r="F112"/>
      <c r="G112"/>
      <c r="H112"/>
      <c r="I112"/>
      <c r="J112"/>
    </row>
    <row r="113" spans="6:10" ht="13.4" hidden="1" customHeight="1" outlineLevel="1" x14ac:dyDescent="0.3">
      <c r="F113"/>
      <c r="G113"/>
      <c r="H113"/>
      <c r="I113"/>
      <c r="J113"/>
    </row>
    <row r="114" spans="6:10" ht="13.4" hidden="1" customHeight="1" outlineLevel="1" x14ac:dyDescent="0.3">
      <c r="F114"/>
      <c r="G114"/>
      <c r="H114"/>
      <c r="I114"/>
      <c r="J114"/>
    </row>
    <row r="115" spans="6:10" ht="13.4" hidden="1" customHeight="1" outlineLevel="1" x14ac:dyDescent="0.3">
      <c r="F115"/>
      <c r="G115"/>
      <c r="H115"/>
      <c r="I115"/>
      <c r="J115"/>
    </row>
    <row r="116" spans="6:10" ht="13.4" hidden="1" customHeight="1" outlineLevel="1" x14ac:dyDescent="0.3">
      <c r="F116"/>
      <c r="G116"/>
      <c r="H116"/>
      <c r="I116"/>
      <c r="J116"/>
    </row>
    <row r="117" spans="6:10" ht="13.4" hidden="1" customHeight="1" outlineLevel="1" x14ac:dyDescent="0.3">
      <c r="F117"/>
      <c r="G117"/>
      <c r="H117"/>
      <c r="I117"/>
      <c r="J117"/>
    </row>
    <row r="118" spans="6:10" ht="13.4" hidden="1" customHeight="1" outlineLevel="1" x14ac:dyDescent="0.3">
      <c r="F118"/>
      <c r="G118"/>
      <c r="H118"/>
      <c r="I118"/>
      <c r="J118"/>
    </row>
    <row r="119" spans="6:10" ht="13.4" hidden="1" customHeight="1" outlineLevel="1" x14ac:dyDescent="0.3">
      <c r="F119"/>
      <c r="G119"/>
      <c r="H119"/>
      <c r="I119"/>
      <c r="J119"/>
    </row>
    <row r="120" spans="6:10" ht="13.4" hidden="1" customHeight="1" outlineLevel="1" x14ac:dyDescent="0.3">
      <c r="F120"/>
      <c r="G120"/>
      <c r="H120"/>
      <c r="I120"/>
      <c r="J120"/>
    </row>
    <row r="121" spans="6:10" ht="13.4" hidden="1" customHeight="1" outlineLevel="1" x14ac:dyDescent="0.3">
      <c r="F121"/>
      <c r="G121"/>
      <c r="H121"/>
      <c r="I121"/>
      <c r="J121"/>
    </row>
    <row r="122" spans="6:10" ht="13.4" hidden="1" customHeight="1" outlineLevel="1" x14ac:dyDescent="0.3">
      <c r="F122"/>
      <c r="G122"/>
      <c r="H122"/>
      <c r="I122"/>
      <c r="J122"/>
    </row>
    <row r="123" spans="6:10" ht="13.4" hidden="1" customHeight="1" outlineLevel="1" x14ac:dyDescent="0.3">
      <c r="F123"/>
      <c r="G123"/>
      <c r="H123"/>
      <c r="I123"/>
      <c r="J123"/>
    </row>
    <row r="124" spans="6:10" ht="13.4" hidden="1" customHeight="1" outlineLevel="1" x14ac:dyDescent="0.3">
      <c r="F124"/>
      <c r="G124"/>
      <c r="H124"/>
      <c r="I124"/>
      <c r="J124"/>
    </row>
    <row r="125" spans="6:10" ht="13.4" hidden="1" customHeight="1" outlineLevel="1" x14ac:dyDescent="0.3">
      <c r="F125"/>
      <c r="G125"/>
      <c r="H125"/>
      <c r="I125"/>
      <c r="J125"/>
    </row>
    <row r="126" spans="6:10" ht="13.4" hidden="1" customHeight="1" outlineLevel="1" x14ac:dyDescent="0.3">
      <c r="F126"/>
      <c r="G126"/>
      <c r="H126"/>
      <c r="I126"/>
      <c r="J126"/>
    </row>
    <row r="127" spans="6:10" ht="13.4" hidden="1" customHeight="1" outlineLevel="1" x14ac:dyDescent="0.3">
      <c r="F127"/>
      <c r="G127"/>
      <c r="H127"/>
      <c r="I127"/>
      <c r="J127"/>
    </row>
    <row r="128" spans="6:10" ht="13.4" hidden="1" customHeight="1" outlineLevel="1" x14ac:dyDescent="0.3">
      <c r="F128"/>
      <c r="G128"/>
      <c r="H128"/>
      <c r="I128"/>
      <c r="J128"/>
    </row>
    <row r="129" spans="6:10" ht="13.4" hidden="1" customHeight="1" outlineLevel="1" x14ac:dyDescent="0.3">
      <c r="F129"/>
      <c r="G129"/>
      <c r="H129"/>
      <c r="I129"/>
      <c r="J129"/>
    </row>
    <row r="130" spans="6:10" ht="13.4" hidden="1" customHeight="1" outlineLevel="1" x14ac:dyDescent="0.3">
      <c r="F130"/>
      <c r="G130"/>
      <c r="H130"/>
      <c r="I130"/>
      <c r="J130"/>
    </row>
    <row r="131" spans="6:10" ht="13.4" hidden="1" customHeight="1" outlineLevel="1" x14ac:dyDescent="0.3">
      <c r="F131"/>
      <c r="G131"/>
      <c r="H131"/>
      <c r="I131"/>
      <c r="J131"/>
    </row>
    <row r="132" spans="6:10" ht="13.4" hidden="1" customHeight="1" outlineLevel="1" x14ac:dyDescent="0.3">
      <c r="F132"/>
      <c r="G132"/>
      <c r="H132"/>
      <c r="I132"/>
      <c r="J132"/>
    </row>
    <row r="133" spans="6:10" ht="13.4" hidden="1" customHeight="1" outlineLevel="1" x14ac:dyDescent="0.3">
      <c r="F133"/>
      <c r="G133"/>
      <c r="H133"/>
      <c r="I133"/>
      <c r="J133"/>
    </row>
    <row r="134" spans="6:10" ht="13.4" hidden="1" customHeight="1" outlineLevel="1" x14ac:dyDescent="0.3">
      <c r="F134"/>
      <c r="G134"/>
      <c r="H134"/>
      <c r="I134"/>
      <c r="J134"/>
    </row>
    <row r="135" spans="6:10" ht="13.4" hidden="1" customHeight="1" outlineLevel="1" x14ac:dyDescent="0.3">
      <c r="F135"/>
      <c r="G135"/>
      <c r="H135"/>
      <c r="I135"/>
      <c r="J135"/>
    </row>
    <row r="136" spans="6:10" ht="13.4" hidden="1" customHeight="1" outlineLevel="1" x14ac:dyDescent="0.3">
      <c r="F136"/>
      <c r="G136"/>
      <c r="H136"/>
      <c r="I136"/>
      <c r="J136"/>
    </row>
    <row r="137" spans="6:10" ht="13.4" hidden="1" customHeight="1" outlineLevel="1" x14ac:dyDescent="0.3">
      <c r="F137"/>
      <c r="G137"/>
      <c r="H137"/>
      <c r="I137"/>
      <c r="J137"/>
    </row>
    <row r="138" spans="6:10" ht="13.4" hidden="1" customHeight="1" outlineLevel="1" x14ac:dyDescent="0.3">
      <c r="F138"/>
      <c r="G138"/>
      <c r="H138"/>
      <c r="I138"/>
      <c r="J138"/>
    </row>
    <row r="139" spans="6:10" ht="13.4" hidden="1" customHeight="1" outlineLevel="1" x14ac:dyDescent="0.3">
      <c r="F139"/>
      <c r="G139"/>
      <c r="H139"/>
      <c r="I139"/>
      <c r="J139"/>
    </row>
    <row r="140" spans="6:10" ht="13.4" hidden="1" customHeight="1" outlineLevel="1" x14ac:dyDescent="0.3">
      <c r="F140"/>
      <c r="G140"/>
      <c r="H140"/>
      <c r="I140"/>
      <c r="J140"/>
    </row>
    <row r="141" spans="6:10" ht="13.4" hidden="1" customHeight="1" outlineLevel="1" x14ac:dyDescent="0.3">
      <c r="F141"/>
      <c r="G141"/>
      <c r="H141"/>
      <c r="I141"/>
      <c r="J141"/>
    </row>
    <row r="142" spans="6:10" ht="13.4" hidden="1" customHeight="1" outlineLevel="1" x14ac:dyDescent="0.3">
      <c r="F142"/>
      <c r="G142"/>
      <c r="H142"/>
      <c r="I142"/>
      <c r="J142"/>
    </row>
    <row r="143" spans="6:10" ht="13.4" hidden="1" customHeight="1" outlineLevel="1" x14ac:dyDescent="0.3">
      <c r="F143"/>
      <c r="G143"/>
      <c r="H143"/>
      <c r="I143"/>
      <c r="J143"/>
    </row>
    <row r="144" spans="6:10" ht="13.4" hidden="1" customHeight="1" outlineLevel="1" x14ac:dyDescent="0.3">
      <c r="F144"/>
      <c r="G144"/>
      <c r="H144"/>
      <c r="I144"/>
      <c r="J144"/>
    </row>
    <row r="145" spans="2:10" ht="13.4" hidden="1" customHeight="1" outlineLevel="1" x14ac:dyDescent="0.3">
      <c r="F145"/>
      <c r="G145"/>
      <c r="H145"/>
      <c r="I145"/>
      <c r="J145"/>
    </row>
    <row r="146" spans="2:10" ht="13.4" hidden="1" customHeight="1" outlineLevel="1" x14ac:dyDescent="0.3">
      <c r="F146"/>
      <c r="G146"/>
      <c r="H146"/>
      <c r="I146"/>
      <c r="J146"/>
    </row>
    <row r="147" spans="2:10" ht="13.4" hidden="1" customHeight="1" outlineLevel="1" x14ac:dyDescent="0.3">
      <c r="F147"/>
      <c r="G147"/>
      <c r="H147"/>
      <c r="I147"/>
      <c r="J147"/>
    </row>
    <row r="148" spans="2:10" ht="13.4" hidden="1" customHeight="1" outlineLevel="1" x14ac:dyDescent="0.3">
      <c r="F148"/>
      <c r="G148"/>
      <c r="H148"/>
      <c r="I148"/>
      <c r="J148"/>
    </row>
    <row r="149" spans="2:10" ht="13.4" hidden="1" customHeight="1" outlineLevel="1" x14ac:dyDescent="0.3">
      <c r="F149"/>
      <c r="G149"/>
      <c r="H149"/>
      <c r="I149"/>
      <c r="J149"/>
    </row>
    <row r="150" spans="2:10" ht="13.4" hidden="1" customHeight="1" outlineLevel="1" x14ac:dyDescent="0.3">
      <c r="F150"/>
      <c r="G150"/>
      <c r="H150"/>
      <c r="I150"/>
      <c r="J150"/>
    </row>
    <row r="151" spans="2:10" ht="13.4" hidden="1" customHeight="1" outlineLevel="1" x14ac:dyDescent="0.3">
      <c r="F151"/>
      <c r="G151"/>
      <c r="H151"/>
      <c r="I151"/>
      <c r="J151"/>
    </row>
    <row r="152" spans="2:10" ht="13.4" hidden="1" customHeight="1" outlineLevel="1" x14ac:dyDescent="0.3">
      <c r="F152"/>
      <c r="G152"/>
      <c r="H152"/>
      <c r="I152"/>
      <c r="J152"/>
    </row>
    <row r="153" spans="2:10" ht="13.4" hidden="1" customHeight="1" outlineLevel="1" x14ac:dyDescent="0.3">
      <c r="F153"/>
      <c r="G153"/>
      <c r="H153"/>
      <c r="I153"/>
      <c r="J153"/>
    </row>
    <row r="154" spans="2:10" ht="13.4" hidden="1" customHeight="1" outlineLevel="1" x14ac:dyDescent="0.3">
      <c r="F154"/>
      <c r="G154"/>
      <c r="H154"/>
      <c r="I154"/>
      <c r="J154"/>
    </row>
    <row r="155" spans="2:10" ht="11.5" hidden="1" customHeight="1" outlineLevel="1" x14ac:dyDescent="0.25"/>
    <row r="156" spans="2:10" ht="13.4" hidden="1" customHeight="1" outlineLevel="1" x14ac:dyDescent="0.25"/>
    <row r="157" spans="2:10" ht="13.4" hidden="1" customHeight="1" outlineLevel="1" x14ac:dyDescent="0.25"/>
    <row r="158" spans="2:10" ht="18.5" collapsed="1" x14ac:dyDescent="0.45">
      <c r="B158" s="5" t="s">
        <v>261</v>
      </c>
    </row>
    <row r="159" spans="2:10" ht="13.4" hidden="1" customHeight="1" outlineLevel="1" x14ac:dyDescent="0.3">
      <c r="F159" s="46" t="s">
        <v>265</v>
      </c>
    </row>
    <row r="160" spans="2:10" ht="26.5" hidden="1" customHeight="1" outlineLevel="1" x14ac:dyDescent="0.25"/>
    <row r="161" ht="26.5" hidden="1" customHeight="1" outlineLevel="1" x14ac:dyDescent="0.25"/>
    <row r="162" ht="13.4" hidden="1" customHeight="1" outlineLevel="1" x14ac:dyDescent="0.25"/>
    <row r="163" ht="13.4" hidden="1" customHeight="1" outlineLevel="1" x14ac:dyDescent="0.25"/>
    <row r="164" ht="13.4" hidden="1" customHeight="1" outlineLevel="1" x14ac:dyDescent="0.25"/>
    <row r="165" ht="13.4" hidden="1" customHeight="1" outlineLevel="1" x14ac:dyDescent="0.25"/>
    <row r="166" ht="13.4" hidden="1" customHeight="1" outlineLevel="1" x14ac:dyDescent="0.25"/>
    <row r="167" ht="13.4" hidden="1" customHeight="1" outlineLevel="1" x14ac:dyDescent="0.25"/>
    <row r="168" collapsed="1" x14ac:dyDescent="0.25"/>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Create_Send_To_Answer_1A">
                <anchor moveWithCells="1" sizeWithCells="1">
                  <from>
                    <xdr:col>11</xdr:col>
                    <xdr:colOff>31750</xdr:colOff>
                    <xdr:row>8</xdr:row>
                    <xdr:rowOff>12700</xdr:rowOff>
                  </from>
                  <to>
                    <xdr:col>14</xdr:col>
                    <xdr:colOff>152400</xdr:colOff>
                    <xdr:row>8</xdr:row>
                    <xdr:rowOff>533400</xdr:rowOff>
                  </to>
                </anchor>
              </controlPr>
            </control>
          </mc:Choice>
        </mc:AlternateContent>
        <mc:AlternateContent xmlns:mc="http://schemas.openxmlformats.org/markup-compatibility/2006">
          <mc:Choice Requires="x14">
            <control shapeId="2050" r:id="rId5" name="Button 2">
              <controlPr defaultSize="0" print="0" autoFill="0" autoPict="0" macro="[0]!ThisWorkbook.Create_Send_To_Answer_1B">
                <anchor moveWithCells="1" sizeWithCells="1">
                  <from>
                    <xdr:col>12</xdr:col>
                    <xdr:colOff>450850</xdr:colOff>
                    <xdr:row>159</xdr:row>
                    <xdr:rowOff>69850</xdr:rowOff>
                  </from>
                  <to>
                    <xdr:col>16</xdr:col>
                    <xdr:colOff>38100</xdr:colOff>
                    <xdr:row>160</xdr:row>
                    <xdr:rowOff>260350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39997558519241921"/>
  </sheetPr>
  <dimension ref="A1:S154"/>
  <sheetViews>
    <sheetView showGridLines="0" zoomScale="80" workbookViewId="0">
      <selection activeCell="L10" sqref="L10"/>
    </sheetView>
  </sheetViews>
  <sheetFormatPr defaultColWidth="9.33203125" defaultRowHeight="12.5" outlineLevelRow="1" x14ac:dyDescent="0.25"/>
  <cols>
    <col min="1" max="5" width="9.33203125" style="2"/>
    <col min="6" max="6" width="18.6640625" style="2" customWidth="1"/>
    <col min="7" max="7" width="20.77734375" style="2" bestFit="1" customWidth="1"/>
    <col min="8" max="8" width="15.33203125" style="2" bestFit="1" customWidth="1"/>
    <col min="9" max="9" width="14.33203125" style="2" bestFit="1" customWidth="1"/>
    <col min="10" max="10" width="15.77734375" style="2" bestFit="1" customWidth="1"/>
    <col min="11" max="11" width="9.33203125" style="2" customWidth="1"/>
    <col min="12" max="12" width="9.33203125" style="2" bestFit="1" customWidth="1"/>
    <col min="13" max="16" width="9.33203125" style="2"/>
    <col min="17" max="17" width="18.6640625" style="2" customWidth="1"/>
    <col min="18" max="18" width="20.77734375" style="2" customWidth="1"/>
    <col min="19" max="19" width="20.77734375" style="2" bestFit="1" customWidth="1"/>
    <col min="20" max="16384" width="9.33203125" style="2"/>
  </cols>
  <sheetData>
    <row r="1" spans="1:18" ht="13" x14ac:dyDescent="0.3">
      <c r="A1" s="3" t="str">
        <f>Introduction!A1</f>
        <v>Problem Solving with Excel</v>
      </c>
    </row>
    <row r="2" spans="1:18" ht="13" x14ac:dyDescent="0.3">
      <c r="A2" s="3" t="str">
        <f>Introduction!A2</f>
        <v>Week 3</v>
      </c>
    </row>
    <row r="3" spans="1:18" ht="13" x14ac:dyDescent="0.3">
      <c r="A3" s="3" t="str">
        <f>Introduction!A3</f>
        <v>Pivot Tables</v>
      </c>
    </row>
    <row r="4" spans="1:18" ht="13" x14ac:dyDescent="0.3">
      <c r="A4" s="3" t="str">
        <f ca="1">MID(CELL("Filename",I7),SEARCH("]",CELL("Filename",I7),1)+1,100)</f>
        <v>Section 1 - Create Table (ANS)</v>
      </c>
    </row>
    <row r="5" spans="1:18" x14ac:dyDescent="0.25">
      <c r="P5" s="6"/>
    </row>
    <row r="6" spans="1:18" ht="13" x14ac:dyDescent="0.3">
      <c r="Q6"/>
      <c r="R6"/>
    </row>
    <row r="7" spans="1:18" ht="18.5" x14ac:dyDescent="0.45">
      <c r="B7" s="5" t="s">
        <v>260</v>
      </c>
    </row>
    <row r="8" spans="1:18" ht="13" outlineLevel="1" x14ac:dyDescent="0.3">
      <c r="F8" s="46" t="s">
        <v>264</v>
      </c>
      <c r="G8"/>
      <c r="K8"/>
      <c r="L8"/>
      <c r="M8"/>
    </row>
    <row r="9" spans="1:18" ht="13" outlineLevel="1" x14ac:dyDescent="0.3">
      <c r="F9"/>
      <c r="G9"/>
      <c r="H9"/>
      <c r="I9"/>
      <c r="J9"/>
      <c r="K9"/>
      <c r="L9"/>
      <c r="M9"/>
    </row>
    <row r="10" spans="1:18" ht="13" outlineLevel="1" x14ac:dyDescent="0.3">
      <c r="F10" s="47"/>
      <c r="G10" s="48"/>
      <c r="H10" s="49"/>
      <c r="I10"/>
      <c r="J10"/>
      <c r="K10"/>
      <c r="L10"/>
      <c r="M10"/>
    </row>
    <row r="11" spans="1:18" ht="13" outlineLevel="1" x14ac:dyDescent="0.3">
      <c r="F11" s="57"/>
      <c r="G11" s="58"/>
      <c r="H11" s="59"/>
      <c r="I11"/>
      <c r="J11"/>
      <c r="K11"/>
      <c r="L11"/>
      <c r="M11"/>
    </row>
    <row r="12" spans="1:18" ht="13" outlineLevel="1" x14ac:dyDescent="0.3">
      <c r="F12" s="57"/>
      <c r="G12" s="58"/>
      <c r="H12" s="59"/>
      <c r="I12"/>
      <c r="J12"/>
      <c r="K12"/>
      <c r="L12"/>
      <c r="M12"/>
    </row>
    <row r="13" spans="1:18" ht="13" outlineLevel="1" x14ac:dyDescent="0.3">
      <c r="F13" s="57"/>
      <c r="G13" s="58"/>
      <c r="H13" s="59"/>
      <c r="I13"/>
      <c r="J13"/>
      <c r="K13"/>
      <c r="L13"/>
      <c r="M13"/>
    </row>
    <row r="14" spans="1:18" ht="13" outlineLevel="1" x14ac:dyDescent="0.3">
      <c r="F14" s="57"/>
      <c r="G14" s="58"/>
      <c r="H14" s="59"/>
      <c r="I14"/>
      <c r="J14"/>
      <c r="K14"/>
      <c r="L14"/>
      <c r="M14"/>
    </row>
    <row r="15" spans="1:18" ht="13" outlineLevel="1" x14ac:dyDescent="0.3">
      <c r="F15" s="57"/>
      <c r="G15" s="58"/>
      <c r="H15" s="59"/>
      <c r="I15"/>
      <c r="J15"/>
      <c r="K15"/>
      <c r="L15"/>
      <c r="M15"/>
    </row>
    <row r="16" spans="1:18" ht="13" outlineLevel="1" x14ac:dyDescent="0.3">
      <c r="F16" s="57"/>
      <c r="G16" s="58"/>
      <c r="H16" s="59"/>
      <c r="I16"/>
      <c r="J16"/>
      <c r="K16"/>
      <c r="L16"/>
      <c r="M16"/>
    </row>
    <row r="17" spans="2:18" ht="13" outlineLevel="1" x14ac:dyDescent="0.3">
      <c r="F17" s="57"/>
      <c r="G17" s="58"/>
      <c r="H17" s="59"/>
      <c r="I17"/>
      <c r="J17"/>
      <c r="K17"/>
      <c r="L17"/>
      <c r="M17"/>
    </row>
    <row r="18" spans="2:18" ht="13" outlineLevel="1" x14ac:dyDescent="0.3">
      <c r="F18" s="57"/>
      <c r="G18" s="58"/>
      <c r="H18" s="59"/>
      <c r="I18"/>
      <c r="J18"/>
      <c r="K18"/>
      <c r="L18"/>
      <c r="M18"/>
    </row>
    <row r="19" spans="2:18" ht="13" outlineLevel="1" x14ac:dyDescent="0.3">
      <c r="F19" s="57"/>
      <c r="G19" s="58"/>
      <c r="H19" s="59"/>
      <c r="I19"/>
      <c r="J19"/>
      <c r="K19"/>
      <c r="L19"/>
      <c r="M19"/>
    </row>
    <row r="20" spans="2:18" ht="13" outlineLevel="1" x14ac:dyDescent="0.3">
      <c r="F20" s="57"/>
      <c r="G20" s="58"/>
      <c r="H20" s="59"/>
      <c r="I20"/>
      <c r="J20"/>
      <c r="K20"/>
      <c r="L20"/>
      <c r="M20"/>
    </row>
    <row r="21" spans="2:18" ht="13" outlineLevel="1" x14ac:dyDescent="0.3">
      <c r="F21" s="57"/>
      <c r="G21" s="58"/>
      <c r="H21" s="59"/>
      <c r="I21"/>
      <c r="J21"/>
      <c r="K21"/>
      <c r="L21"/>
      <c r="M21"/>
    </row>
    <row r="22" spans="2:18" ht="13" outlineLevel="1" x14ac:dyDescent="0.3">
      <c r="F22" s="57"/>
      <c r="G22" s="58"/>
      <c r="H22" s="59"/>
      <c r="I22"/>
      <c r="J22"/>
      <c r="K22"/>
      <c r="L22"/>
      <c r="M22"/>
    </row>
    <row r="23" spans="2:18" ht="13" outlineLevel="1" x14ac:dyDescent="0.3">
      <c r="F23" s="57"/>
      <c r="G23" s="58"/>
      <c r="H23" s="59"/>
      <c r="I23"/>
      <c r="J23"/>
      <c r="K23"/>
      <c r="L23"/>
      <c r="M23"/>
      <c r="Q23"/>
      <c r="R23"/>
    </row>
    <row r="24" spans="2:18" ht="13" outlineLevel="1" x14ac:dyDescent="0.3">
      <c r="F24" s="57"/>
      <c r="G24" s="58"/>
      <c r="H24" s="59"/>
      <c r="I24"/>
      <c r="J24"/>
      <c r="K24"/>
      <c r="L24"/>
      <c r="M24"/>
      <c r="Q24"/>
      <c r="R24"/>
    </row>
    <row r="25" spans="2:18" ht="13" outlineLevel="1" x14ac:dyDescent="0.3">
      <c r="F25" s="57"/>
      <c r="G25" s="58"/>
      <c r="H25" s="59"/>
      <c r="I25"/>
      <c r="J25"/>
      <c r="K25"/>
      <c r="L25"/>
      <c r="M25"/>
      <c r="Q25"/>
      <c r="R25"/>
    </row>
    <row r="26" spans="2:18" ht="13" outlineLevel="1" x14ac:dyDescent="0.3">
      <c r="F26" s="57"/>
      <c r="G26" s="58"/>
      <c r="H26" s="59"/>
      <c r="I26"/>
      <c r="J26"/>
      <c r="K26"/>
      <c r="L26"/>
      <c r="M26"/>
      <c r="Q26"/>
      <c r="R26"/>
    </row>
    <row r="27" spans="2:18" ht="13" outlineLevel="1" x14ac:dyDescent="0.3">
      <c r="F27" s="60"/>
      <c r="G27" s="61"/>
      <c r="H27" s="62"/>
      <c r="I27"/>
      <c r="J27"/>
      <c r="K27"/>
      <c r="L27"/>
      <c r="M27"/>
      <c r="Q27"/>
      <c r="R27"/>
    </row>
    <row r="28" spans="2:18" ht="13" outlineLevel="1" x14ac:dyDescent="0.3">
      <c r="K28"/>
      <c r="L28"/>
      <c r="M28"/>
      <c r="Q28"/>
      <c r="R28"/>
    </row>
    <row r="29" spans="2:18" ht="13" outlineLevel="1" x14ac:dyDescent="0.3">
      <c r="K29"/>
      <c r="L29"/>
      <c r="M29"/>
      <c r="Q29"/>
      <c r="R29"/>
    </row>
    <row r="30" spans="2:18" ht="13" outlineLevel="1" x14ac:dyDescent="0.3">
      <c r="K30"/>
      <c r="L30"/>
      <c r="M30"/>
      <c r="Q30"/>
      <c r="R30"/>
    </row>
    <row r="31" spans="2:18" ht="13" outlineLevel="1" x14ac:dyDescent="0.3">
      <c r="K31"/>
      <c r="L31"/>
      <c r="M31"/>
      <c r="Q31"/>
      <c r="R31"/>
    </row>
    <row r="32" spans="2:18" ht="18.5" x14ac:dyDescent="0.45">
      <c r="B32" s="5" t="s">
        <v>262</v>
      </c>
      <c r="Q32"/>
      <c r="R32"/>
    </row>
    <row r="33" spans="2:19" ht="13" outlineLevel="1" x14ac:dyDescent="0.3">
      <c r="F33" s="46" t="s">
        <v>265</v>
      </c>
      <c r="Q33"/>
      <c r="R33"/>
    </row>
    <row r="34" spans="2:19" ht="13" outlineLevel="1" x14ac:dyDescent="0.3">
      <c r="B34"/>
      <c r="C34"/>
      <c r="D34"/>
      <c r="E34"/>
      <c r="F34" s="46"/>
      <c r="G34"/>
      <c r="H34"/>
      <c r="I34"/>
      <c r="J34"/>
      <c r="K34"/>
      <c r="L34"/>
      <c r="M34"/>
      <c r="N34"/>
      <c r="Q34"/>
      <c r="R34"/>
    </row>
    <row r="35" spans="2:19" ht="13" outlineLevel="1" x14ac:dyDescent="0.3">
      <c r="B35"/>
      <c r="C35"/>
      <c r="D35"/>
      <c r="E35"/>
      <c r="F35" s="47"/>
      <c r="G35" s="48"/>
      <c r="H35" s="49"/>
      <c r="I35"/>
      <c r="J35"/>
      <c r="K35"/>
      <c r="L35"/>
      <c r="M35"/>
      <c r="N35"/>
      <c r="Q35"/>
      <c r="R35"/>
    </row>
    <row r="36" spans="2:19" ht="13" outlineLevel="1" x14ac:dyDescent="0.3">
      <c r="B36"/>
      <c r="C36"/>
      <c r="D36"/>
      <c r="E36"/>
      <c r="F36" s="57"/>
      <c r="G36" s="58"/>
      <c r="H36" s="59"/>
      <c r="I36"/>
      <c r="J36"/>
      <c r="K36"/>
      <c r="L36"/>
      <c r="M36"/>
      <c r="N36"/>
      <c r="Q36"/>
      <c r="R36"/>
    </row>
    <row r="37" spans="2:19" ht="13" outlineLevel="1" x14ac:dyDescent="0.3">
      <c r="B37"/>
      <c r="C37"/>
      <c r="D37"/>
      <c r="E37"/>
      <c r="F37" s="57"/>
      <c r="G37" s="58"/>
      <c r="H37" s="59"/>
      <c r="I37"/>
      <c r="J37"/>
      <c r="K37"/>
      <c r="L37"/>
      <c r="M37"/>
      <c r="N37"/>
      <c r="Q37"/>
      <c r="R37"/>
    </row>
    <row r="38" spans="2:19" ht="13" outlineLevel="1" x14ac:dyDescent="0.3">
      <c r="B38"/>
      <c r="C38"/>
      <c r="D38"/>
      <c r="E38"/>
      <c r="F38" s="57"/>
      <c r="G38" s="58"/>
      <c r="H38" s="59"/>
      <c r="I38"/>
      <c r="J38"/>
      <c r="K38"/>
      <c r="L38"/>
      <c r="M38"/>
      <c r="N38"/>
      <c r="Q38"/>
      <c r="R38"/>
    </row>
    <row r="39" spans="2:19" ht="13" outlineLevel="1" x14ac:dyDescent="0.3">
      <c r="B39"/>
      <c r="C39"/>
      <c r="D39"/>
      <c r="E39"/>
      <c r="F39" s="57"/>
      <c r="G39" s="58"/>
      <c r="H39" s="59"/>
      <c r="I39"/>
      <c r="J39"/>
      <c r="K39"/>
      <c r="L39"/>
      <c r="M39"/>
      <c r="N39"/>
      <c r="Q39"/>
      <c r="R39"/>
    </row>
    <row r="40" spans="2:19" ht="13" outlineLevel="1" x14ac:dyDescent="0.3">
      <c r="B40"/>
      <c r="C40"/>
      <c r="D40"/>
      <c r="E40"/>
      <c r="F40" s="57"/>
      <c r="G40" s="58"/>
      <c r="H40" s="59"/>
      <c r="I40"/>
      <c r="J40"/>
      <c r="K40"/>
      <c r="L40"/>
      <c r="M40"/>
      <c r="N40"/>
      <c r="Q40"/>
      <c r="R40"/>
    </row>
    <row r="41" spans="2:19" ht="13" outlineLevel="1" x14ac:dyDescent="0.3">
      <c r="B41"/>
      <c r="C41"/>
      <c r="D41"/>
      <c r="E41"/>
      <c r="F41" s="57"/>
      <c r="G41" s="58"/>
      <c r="H41" s="59"/>
      <c r="I41"/>
      <c r="J41"/>
      <c r="K41"/>
      <c r="L41"/>
      <c r="M41"/>
      <c r="N41"/>
      <c r="Q41"/>
      <c r="R41"/>
    </row>
    <row r="42" spans="2:19" ht="13" outlineLevel="1" x14ac:dyDescent="0.3">
      <c r="B42"/>
      <c r="C42"/>
      <c r="D42"/>
      <c r="E42"/>
      <c r="F42" s="57"/>
      <c r="G42" s="58"/>
      <c r="H42" s="59"/>
      <c r="I42"/>
      <c r="J42"/>
      <c r="K42"/>
      <c r="L42"/>
      <c r="M42"/>
      <c r="N42"/>
      <c r="Q42"/>
      <c r="R42"/>
    </row>
    <row r="43" spans="2:19" ht="13" outlineLevel="1" x14ac:dyDescent="0.3">
      <c r="B43"/>
      <c r="C43"/>
      <c r="D43"/>
      <c r="E43"/>
      <c r="F43" s="57"/>
      <c r="G43" s="58"/>
      <c r="H43" s="59"/>
      <c r="I43"/>
      <c r="J43"/>
      <c r="K43"/>
      <c r="L43"/>
      <c r="M43"/>
      <c r="N43"/>
      <c r="Q43"/>
      <c r="R43"/>
    </row>
    <row r="44" spans="2:19" ht="13" outlineLevel="1" x14ac:dyDescent="0.3">
      <c r="B44"/>
      <c r="C44"/>
      <c r="D44"/>
      <c r="E44"/>
      <c r="F44" s="57"/>
      <c r="G44" s="58"/>
      <c r="H44" s="59"/>
      <c r="I44"/>
      <c r="J44"/>
      <c r="K44"/>
      <c r="L44"/>
      <c r="M44"/>
      <c r="N44"/>
      <c r="Q44"/>
      <c r="R44"/>
    </row>
    <row r="45" spans="2:19" ht="13" outlineLevel="1" x14ac:dyDescent="0.3">
      <c r="B45"/>
      <c r="C45"/>
      <c r="D45"/>
      <c r="E45"/>
      <c r="F45" s="57"/>
      <c r="G45" s="58"/>
      <c r="H45" s="59"/>
      <c r="I45"/>
      <c r="J45"/>
      <c r="K45"/>
      <c r="L45"/>
      <c r="M45"/>
      <c r="N45"/>
    </row>
    <row r="46" spans="2:19" ht="13" outlineLevel="1" x14ac:dyDescent="0.3">
      <c r="B46"/>
      <c r="C46"/>
      <c r="D46"/>
      <c r="E46"/>
      <c r="F46" s="57"/>
      <c r="G46" s="58"/>
      <c r="H46" s="59"/>
      <c r="I46"/>
      <c r="J46"/>
      <c r="K46"/>
      <c r="L46"/>
      <c r="M46"/>
      <c r="N46"/>
    </row>
    <row r="47" spans="2:19" ht="13" outlineLevel="1" x14ac:dyDescent="0.3">
      <c r="B47"/>
      <c r="C47"/>
      <c r="D47"/>
      <c r="E47"/>
      <c r="F47" s="57"/>
      <c r="G47" s="58"/>
      <c r="H47" s="59"/>
      <c r="I47"/>
      <c r="J47"/>
      <c r="K47"/>
      <c r="L47"/>
      <c r="M47"/>
      <c r="N47"/>
      <c r="S47"/>
    </row>
    <row r="48" spans="2:19" ht="13" outlineLevel="1" x14ac:dyDescent="0.3">
      <c r="B48"/>
      <c r="C48"/>
      <c r="D48"/>
      <c r="E48"/>
      <c r="F48" s="57"/>
      <c r="G48" s="58"/>
      <c r="H48" s="59"/>
      <c r="I48"/>
      <c r="J48"/>
      <c r="K48"/>
      <c r="L48"/>
      <c r="M48"/>
      <c r="N48"/>
      <c r="S48"/>
    </row>
    <row r="49" spans="2:19" ht="13" outlineLevel="1" x14ac:dyDescent="0.3">
      <c r="B49"/>
      <c r="C49"/>
      <c r="D49"/>
      <c r="E49"/>
      <c r="F49" s="57"/>
      <c r="G49" s="58"/>
      <c r="H49" s="59"/>
      <c r="I49"/>
      <c r="J49"/>
      <c r="K49"/>
      <c r="L49"/>
      <c r="M49"/>
      <c r="N49"/>
      <c r="Q49"/>
      <c r="R49"/>
      <c r="S49"/>
    </row>
    <row r="50" spans="2:19" ht="13" outlineLevel="1" x14ac:dyDescent="0.3">
      <c r="B50"/>
      <c r="C50"/>
      <c r="D50"/>
      <c r="E50"/>
      <c r="F50" s="57"/>
      <c r="G50" s="58"/>
      <c r="H50" s="59"/>
      <c r="I50"/>
      <c r="J50"/>
      <c r="K50"/>
      <c r="L50"/>
      <c r="M50"/>
      <c r="N50"/>
      <c r="Q50"/>
      <c r="R50"/>
      <c r="S50"/>
    </row>
    <row r="51" spans="2:19" ht="13" outlineLevel="1" x14ac:dyDescent="0.3">
      <c r="B51"/>
      <c r="C51"/>
      <c r="D51"/>
      <c r="E51"/>
      <c r="F51" s="57"/>
      <c r="G51" s="58"/>
      <c r="H51" s="59"/>
      <c r="I51"/>
      <c r="J51"/>
      <c r="K51"/>
      <c r="L51"/>
      <c r="M51"/>
      <c r="N51"/>
      <c r="Q51"/>
      <c r="R51"/>
      <c r="S51"/>
    </row>
    <row r="52" spans="2:19" ht="13" outlineLevel="1" x14ac:dyDescent="0.3">
      <c r="B52"/>
      <c r="F52" s="60"/>
      <c r="G52" s="61"/>
      <c r="H52" s="62"/>
      <c r="K52"/>
      <c r="L52"/>
      <c r="M52"/>
      <c r="N52"/>
      <c r="Q52"/>
      <c r="R52"/>
      <c r="S52"/>
    </row>
    <row r="53" spans="2:19" ht="13" outlineLevel="1" x14ac:dyDescent="0.3">
      <c r="B53"/>
      <c r="F53"/>
      <c r="G53"/>
      <c r="H53"/>
      <c r="I53"/>
      <c r="J53"/>
      <c r="K53"/>
      <c r="L53"/>
      <c r="M53"/>
      <c r="N53"/>
      <c r="Q53"/>
      <c r="R53"/>
      <c r="S53"/>
    </row>
    <row r="54" spans="2:19" ht="13" outlineLevel="1" x14ac:dyDescent="0.3">
      <c r="B54"/>
      <c r="K54"/>
      <c r="L54"/>
      <c r="M54"/>
      <c r="N54"/>
      <c r="Q54"/>
      <c r="R54"/>
      <c r="S54"/>
    </row>
    <row r="55" spans="2:19" ht="13" outlineLevel="1" x14ac:dyDescent="0.3">
      <c r="B55"/>
      <c r="F55" s="46"/>
      <c r="K55"/>
      <c r="L55"/>
      <c r="M55"/>
      <c r="N55"/>
      <c r="Q55"/>
      <c r="R55"/>
      <c r="S55"/>
    </row>
    <row r="56" spans="2:19" ht="13" outlineLevel="1" x14ac:dyDescent="0.3">
      <c r="B56"/>
      <c r="C56"/>
      <c r="D56"/>
      <c r="E56"/>
      <c r="F56"/>
      <c r="G56"/>
      <c r="H56"/>
      <c r="I56"/>
      <c r="J56"/>
      <c r="K56"/>
      <c r="L56"/>
      <c r="M56"/>
      <c r="N56"/>
      <c r="Q56"/>
      <c r="R56"/>
      <c r="S56"/>
    </row>
    <row r="57" spans="2:19" ht="13" outlineLevel="1" x14ac:dyDescent="0.3">
      <c r="B57"/>
      <c r="C57"/>
      <c r="D57"/>
      <c r="E57"/>
      <c r="F57"/>
      <c r="G57"/>
      <c r="H57"/>
      <c r="I57"/>
      <c r="J57"/>
      <c r="K57"/>
      <c r="L57"/>
      <c r="M57"/>
      <c r="N57"/>
      <c r="Q57"/>
      <c r="R57"/>
      <c r="S57"/>
    </row>
    <row r="58" spans="2:19" ht="13" x14ac:dyDescent="0.3">
      <c r="B58"/>
      <c r="C58"/>
      <c r="D58"/>
      <c r="E58"/>
      <c r="F58"/>
      <c r="G58"/>
      <c r="H58"/>
      <c r="I58"/>
      <c r="J58"/>
      <c r="K58"/>
      <c r="L58"/>
      <c r="M58"/>
      <c r="N58"/>
      <c r="Q58"/>
      <c r="R58"/>
      <c r="S58"/>
    </row>
    <row r="59" spans="2:19" ht="13" x14ac:dyDescent="0.3">
      <c r="B59"/>
      <c r="C59"/>
      <c r="D59"/>
      <c r="E59"/>
      <c r="F59" s="51"/>
      <c r="G59" s="53"/>
      <c r="H59"/>
      <c r="I59"/>
      <c r="J59"/>
      <c r="K59"/>
      <c r="L59"/>
      <c r="M59"/>
      <c r="N59"/>
      <c r="Q59"/>
      <c r="R59"/>
      <c r="S59"/>
    </row>
    <row r="60" spans="2:19" ht="13" x14ac:dyDescent="0.3">
      <c r="B60"/>
      <c r="C60"/>
      <c r="D60"/>
      <c r="E60"/>
      <c r="F60"/>
      <c r="G60"/>
      <c r="H60"/>
      <c r="I60"/>
      <c r="J60"/>
      <c r="K60"/>
      <c r="L60"/>
      <c r="M60"/>
      <c r="N60"/>
      <c r="Q60"/>
      <c r="R60"/>
      <c r="S60"/>
    </row>
    <row r="61" spans="2:19" ht="13" x14ac:dyDescent="0.3">
      <c r="B61"/>
      <c r="C61"/>
      <c r="D61"/>
      <c r="E61"/>
      <c r="F61"/>
      <c r="G61"/>
      <c r="H61"/>
      <c r="I61"/>
      <c r="J61"/>
      <c r="K61"/>
      <c r="L61"/>
      <c r="M61"/>
      <c r="N61"/>
      <c r="Q61"/>
      <c r="R61"/>
      <c r="S61"/>
    </row>
    <row r="62" spans="2:19" ht="13" x14ac:dyDescent="0.3">
      <c r="B62"/>
      <c r="C62"/>
      <c r="D62"/>
      <c r="E62"/>
      <c r="F62"/>
      <c r="G62"/>
      <c r="H62"/>
      <c r="I62"/>
      <c r="J62"/>
      <c r="K62"/>
      <c r="L62"/>
      <c r="M62"/>
      <c r="N62"/>
      <c r="Q62"/>
      <c r="R62"/>
      <c r="S62"/>
    </row>
    <row r="63" spans="2:19" ht="13" x14ac:dyDescent="0.3">
      <c r="B63"/>
      <c r="C63"/>
      <c r="D63"/>
      <c r="E63"/>
      <c r="F63"/>
      <c r="G63"/>
      <c r="H63"/>
      <c r="I63"/>
      <c r="J63"/>
      <c r="K63"/>
      <c r="L63"/>
      <c r="M63"/>
      <c r="N63"/>
      <c r="Q63"/>
      <c r="R63"/>
      <c r="S63"/>
    </row>
    <row r="64" spans="2:19" ht="13" x14ac:dyDescent="0.3">
      <c r="B64"/>
      <c r="C64"/>
      <c r="D64"/>
      <c r="E64"/>
      <c r="F64"/>
      <c r="G64"/>
      <c r="H64"/>
      <c r="I64"/>
      <c r="J64"/>
      <c r="K64"/>
      <c r="L64"/>
      <c r="M64"/>
      <c r="N64"/>
      <c r="Q64"/>
      <c r="R64"/>
      <c r="S64"/>
    </row>
    <row r="65" spans="2:19" ht="13" x14ac:dyDescent="0.3">
      <c r="B65"/>
      <c r="C65"/>
      <c r="D65"/>
      <c r="E65"/>
      <c r="F65"/>
      <c r="G65"/>
      <c r="H65"/>
      <c r="I65"/>
      <c r="J65"/>
      <c r="K65"/>
      <c r="L65"/>
      <c r="M65"/>
      <c r="N65"/>
      <c r="Q65"/>
      <c r="R65"/>
      <c r="S65"/>
    </row>
    <row r="66" spans="2:19" ht="13" x14ac:dyDescent="0.3">
      <c r="B66"/>
      <c r="C66"/>
      <c r="D66"/>
      <c r="E66"/>
      <c r="F66"/>
      <c r="G66"/>
      <c r="H66"/>
      <c r="I66"/>
      <c r="J66"/>
      <c r="K66"/>
      <c r="L66"/>
      <c r="M66"/>
      <c r="N66"/>
      <c r="Q66"/>
      <c r="R66"/>
      <c r="S66"/>
    </row>
    <row r="67" spans="2:19" ht="13" x14ac:dyDescent="0.3">
      <c r="B67"/>
      <c r="C67"/>
      <c r="D67"/>
      <c r="E67"/>
      <c r="F67"/>
      <c r="G67"/>
      <c r="H67"/>
      <c r="I67"/>
      <c r="J67"/>
      <c r="K67"/>
      <c r="L67"/>
      <c r="M67"/>
      <c r="N67"/>
      <c r="Q67"/>
      <c r="R67"/>
      <c r="S67"/>
    </row>
    <row r="68" spans="2:19" ht="13" x14ac:dyDescent="0.3">
      <c r="B68"/>
      <c r="C68"/>
      <c r="D68"/>
      <c r="E68"/>
      <c r="F68"/>
      <c r="G68"/>
      <c r="H68"/>
      <c r="I68"/>
      <c r="J68"/>
      <c r="K68"/>
      <c r="L68"/>
      <c r="M68"/>
      <c r="N68"/>
      <c r="Q68"/>
      <c r="R68"/>
      <c r="S68"/>
    </row>
    <row r="69" spans="2:19" ht="13" x14ac:dyDescent="0.3">
      <c r="B69"/>
      <c r="C69"/>
      <c r="D69"/>
      <c r="E69"/>
      <c r="F69"/>
      <c r="G69"/>
      <c r="H69"/>
      <c r="I69"/>
      <c r="J69"/>
      <c r="K69"/>
      <c r="L69"/>
      <c r="M69"/>
      <c r="N69"/>
      <c r="Q69"/>
      <c r="R69"/>
      <c r="S69"/>
    </row>
    <row r="70" spans="2:19" ht="13" x14ac:dyDescent="0.3">
      <c r="B70"/>
      <c r="C70"/>
      <c r="D70"/>
      <c r="E70"/>
      <c r="F70"/>
      <c r="G70"/>
      <c r="H70"/>
      <c r="I70"/>
      <c r="J70"/>
      <c r="K70"/>
      <c r="L70"/>
      <c r="M70"/>
      <c r="N70"/>
      <c r="Q70"/>
      <c r="R70"/>
      <c r="S70"/>
    </row>
    <row r="71" spans="2:19" ht="13" x14ac:dyDescent="0.3">
      <c r="B71"/>
      <c r="C71"/>
      <c r="D71"/>
      <c r="E71"/>
      <c r="F71"/>
      <c r="G71"/>
      <c r="H71"/>
      <c r="I71"/>
      <c r="J71"/>
      <c r="K71"/>
      <c r="L71"/>
      <c r="M71"/>
      <c r="N71"/>
      <c r="Q71"/>
      <c r="R71"/>
      <c r="S71"/>
    </row>
    <row r="72" spans="2:19" ht="13" x14ac:dyDescent="0.3">
      <c r="B72"/>
      <c r="C72"/>
      <c r="D72"/>
      <c r="E72"/>
      <c r="F72"/>
      <c r="G72"/>
      <c r="H72"/>
      <c r="I72"/>
      <c r="J72"/>
      <c r="K72"/>
      <c r="L72"/>
      <c r="M72"/>
      <c r="N72"/>
      <c r="Q72"/>
      <c r="R72"/>
      <c r="S72"/>
    </row>
    <row r="73" spans="2:19" ht="13" x14ac:dyDescent="0.3">
      <c r="B73"/>
      <c r="C73"/>
      <c r="D73"/>
      <c r="E73"/>
      <c r="F73"/>
      <c r="G73"/>
      <c r="H73"/>
      <c r="I73"/>
      <c r="J73"/>
      <c r="K73"/>
      <c r="L73"/>
      <c r="M73"/>
      <c r="N73"/>
      <c r="Q73"/>
      <c r="R73"/>
      <c r="S73"/>
    </row>
    <row r="74" spans="2:19" ht="13" x14ac:dyDescent="0.3">
      <c r="B74"/>
      <c r="C74"/>
      <c r="D74"/>
      <c r="E74"/>
      <c r="F74"/>
      <c r="G74"/>
      <c r="H74"/>
      <c r="I74"/>
      <c r="J74"/>
      <c r="K74"/>
      <c r="L74"/>
      <c r="M74"/>
      <c r="N74"/>
      <c r="Q74"/>
      <c r="R74"/>
      <c r="S74"/>
    </row>
    <row r="75" spans="2:19" ht="13" x14ac:dyDescent="0.3">
      <c r="B75"/>
      <c r="C75"/>
      <c r="D75"/>
      <c r="E75"/>
      <c r="F75"/>
      <c r="G75"/>
      <c r="H75"/>
      <c r="I75"/>
      <c r="J75"/>
      <c r="K75"/>
      <c r="L75"/>
      <c r="M75"/>
      <c r="N75"/>
      <c r="Q75"/>
      <c r="R75"/>
      <c r="S75"/>
    </row>
    <row r="76" spans="2:19" ht="13" x14ac:dyDescent="0.3">
      <c r="B76"/>
      <c r="C76"/>
      <c r="D76"/>
      <c r="E76"/>
      <c r="F76"/>
      <c r="G76"/>
      <c r="H76"/>
      <c r="I76"/>
      <c r="J76"/>
      <c r="K76"/>
      <c r="L76"/>
      <c r="M76"/>
      <c r="N76"/>
      <c r="Q76"/>
      <c r="R76"/>
      <c r="S76"/>
    </row>
    <row r="77" spans="2:19" ht="13" x14ac:dyDescent="0.3">
      <c r="B77"/>
      <c r="C77"/>
      <c r="D77"/>
      <c r="E77"/>
      <c r="F77"/>
      <c r="G77"/>
      <c r="H77"/>
      <c r="I77"/>
      <c r="J77"/>
      <c r="K77"/>
      <c r="L77"/>
      <c r="M77"/>
      <c r="N77"/>
      <c r="Q77"/>
      <c r="R77"/>
      <c r="S77"/>
    </row>
    <row r="78" spans="2:19" ht="13" x14ac:dyDescent="0.3">
      <c r="B78"/>
      <c r="C78"/>
      <c r="D78"/>
      <c r="E78"/>
      <c r="F78"/>
      <c r="G78"/>
      <c r="H78"/>
      <c r="I78"/>
      <c r="J78"/>
      <c r="K78"/>
      <c r="L78"/>
      <c r="M78"/>
      <c r="N78"/>
      <c r="Q78"/>
      <c r="R78"/>
      <c r="S78"/>
    </row>
    <row r="79" spans="2:19" ht="13" x14ac:dyDescent="0.3">
      <c r="B79"/>
      <c r="C79"/>
      <c r="D79"/>
      <c r="E79"/>
      <c r="F79"/>
      <c r="G79"/>
      <c r="H79"/>
      <c r="I79"/>
      <c r="J79"/>
      <c r="K79"/>
      <c r="L79"/>
      <c r="M79"/>
      <c r="N79"/>
      <c r="Q79"/>
      <c r="R79"/>
      <c r="S79"/>
    </row>
    <row r="80" spans="2:19" ht="13" x14ac:dyDescent="0.3">
      <c r="B80"/>
      <c r="C80"/>
      <c r="D80"/>
      <c r="E80"/>
      <c r="F80"/>
      <c r="G80"/>
      <c r="H80"/>
      <c r="I80"/>
      <c r="J80"/>
      <c r="K80"/>
      <c r="L80"/>
      <c r="M80"/>
      <c r="N80"/>
      <c r="Q80"/>
      <c r="R80"/>
      <c r="S80"/>
    </row>
    <row r="81" spans="2:19" ht="13" x14ac:dyDescent="0.3">
      <c r="B81"/>
      <c r="C81"/>
      <c r="D81"/>
      <c r="E81"/>
      <c r="F81"/>
      <c r="G81"/>
      <c r="H81"/>
      <c r="I81"/>
      <c r="J81"/>
      <c r="K81"/>
      <c r="L81"/>
      <c r="M81"/>
      <c r="N81"/>
      <c r="Q81"/>
      <c r="R81"/>
      <c r="S81"/>
    </row>
    <row r="82" spans="2:19" ht="13" x14ac:dyDescent="0.3">
      <c r="B82"/>
      <c r="C82"/>
      <c r="D82"/>
      <c r="E82"/>
      <c r="F82"/>
      <c r="G82"/>
      <c r="H82"/>
      <c r="I82"/>
      <c r="J82"/>
      <c r="K82"/>
      <c r="L82"/>
      <c r="M82"/>
      <c r="N82"/>
      <c r="Q82"/>
      <c r="R82"/>
      <c r="S82"/>
    </row>
    <row r="83" spans="2:19" ht="13" x14ac:dyDescent="0.3">
      <c r="B83"/>
      <c r="C83"/>
      <c r="D83"/>
      <c r="E83"/>
      <c r="F83"/>
      <c r="G83"/>
      <c r="H83"/>
      <c r="I83"/>
      <c r="J83"/>
      <c r="K83"/>
      <c r="L83"/>
      <c r="M83"/>
      <c r="N83"/>
      <c r="Q83"/>
      <c r="R83"/>
      <c r="S83"/>
    </row>
    <row r="84" spans="2:19" ht="13" x14ac:dyDescent="0.3">
      <c r="B84"/>
      <c r="C84"/>
      <c r="D84"/>
      <c r="E84"/>
      <c r="F84"/>
      <c r="G84"/>
      <c r="H84"/>
      <c r="I84"/>
      <c r="J84"/>
      <c r="K84"/>
      <c r="L84"/>
      <c r="M84"/>
      <c r="N84"/>
      <c r="Q84"/>
      <c r="R84"/>
      <c r="S84"/>
    </row>
    <row r="85" spans="2:19" ht="13" x14ac:dyDescent="0.3">
      <c r="B85"/>
      <c r="C85"/>
      <c r="D85"/>
      <c r="E85"/>
      <c r="F85"/>
      <c r="G85"/>
      <c r="H85"/>
      <c r="I85"/>
      <c r="J85"/>
      <c r="K85"/>
      <c r="L85"/>
      <c r="M85"/>
      <c r="N85"/>
      <c r="Q85"/>
      <c r="R85"/>
      <c r="S85"/>
    </row>
    <row r="86" spans="2:19" ht="13" x14ac:dyDescent="0.3">
      <c r="B86"/>
      <c r="C86"/>
      <c r="D86"/>
      <c r="E86"/>
      <c r="F86"/>
      <c r="G86"/>
      <c r="H86"/>
      <c r="I86"/>
      <c r="J86"/>
      <c r="K86"/>
      <c r="L86"/>
      <c r="M86"/>
      <c r="N86"/>
      <c r="Q86"/>
      <c r="R86"/>
      <c r="S86"/>
    </row>
    <row r="87" spans="2:19" ht="13" x14ac:dyDescent="0.3">
      <c r="B87"/>
      <c r="C87"/>
      <c r="D87"/>
      <c r="E87"/>
      <c r="F87"/>
      <c r="G87"/>
      <c r="H87"/>
      <c r="I87"/>
      <c r="J87"/>
      <c r="K87"/>
      <c r="L87"/>
      <c r="M87"/>
      <c r="N87"/>
      <c r="Q87"/>
      <c r="R87"/>
      <c r="S87"/>
    </row>
    <row r="88" spans="2:19" ht="13" x14ac:dyDescent="0.3">
      <c r="B88"/>
      <c r="C88"/>
      <c r="D88"/>
      <c r="E88"/>
      <c r="F88"/>
      <c r="G88"/>
      <c r="H88"/>
      <c r="I88"/>
      <c r="J88"/>
      <c r="K88"/>
      <c r="L88"/>
      <c r="M88"/>
      <c r="N88"/>
      <c r="Q88"/>
      <c r="R88"/>
      <c r="S88"/>
    </row>
    <row r="89" spans="2:19" ht="13" x14ac:dyDescent="0.3">
      <c r="B89"/>
      <c r="C89"/>
      <c r="D89"/>
      <c r="E89"/>
      <c r="F89"/>
      <c r="G89"/>
      <c r="H89"/>
      <c r="I89"/>
      <c r="J89"/>
      <c r="K89"/>
      <c r="L89"/>
      <c r="M89"/>
      <c r="N89"/>
      <c r="Q89"/>
      <c r="R89"/>
      <c r="S89"/>
    </row>
    <row r="90" spans="2:19" ht="13" x14ac:dyDescent="0.3">
      <c r="B90"/>
      <c r="C90"/>
      <c r="D90"/>
      <c r="E90"/>
      <c r="F90"/>
      <c r="G90"/>
      <c r="H90"/>
      <c r="I90"/>
      <c r="J90"/>
      <c r="K90"/>
      <c r="L90"/>
      <c r="M90"/>
      <c r="N90"/>
      <c r="Q90"/>
      <c r="R90"/>
      <c r="S90"/>
    </row>
    <row r="91" spans="2:19" ht="13" x14ac:dyDescent="0.3">
      <c r="B91"/>
      <c r="C91"/>
      <c r="D91"/>
      <c r="E91"/>
      <c r="F91"/>
      <c r="G91"/>
      <c r="H91"/>
      <c r="I91"/>
      <c r="J91"/>
      <c r="K91"/>
      <c r="L91"/>
      <c r="M91"/>
      <c r="N91"/>
      <c r="Q91"/>
      <c r="R91"/>
      <c r="S91"/>
    </row>
    <row r="92" spans="2:19" ht="13" x14ac:dyDescent="0.3">
      <c r="B92"/>
      <c r="C92"/>
      <c r="D92"/>
      <c r="E92"/>
      <c r="F92"/>
      <c r="G92"/>
      <c r="H92"/>
      <c r="I92"/>
      <c r="J92"/>
      <c r="K92"/>
      <c r="L92"/>
      <c r="M92"/>
      <c r="N92"/>
      <c r="Q92"/>
      <c r="R92"/>
      <c r="S92"/>
    </row>
    <row r="93" spans="2:19" ht="13" x14ac:dyDescent="0.3">
      <c r="B93"/>
      <c r="C93"/>
      <c r="D93"/>
      <c r="E93"/>
      <c r="F93"/>
      <c r="G93"/>
      <c r="H93"/>
      <c r="I93"/>
      <c r="J93"/>
      <c r="K93"/>
      <c r="L93"/>
      <c r="M93"/>
      <c r="N93"/>
      <c r="Q93"/>
      <c r="R93"/>
      <c r="S93"/>
    </row>
    <row r="94" spans="2:19" ht="13" x14ac:dyDescent="0.3">
      <c r="B94"/>
      <c r="C94"/>
      <c r="D94"/>
      <c r="E94"/>
      <c r="F94"/>
      <c r="G94"/>
      <c r="H94"/>
      <c r="I94"/>
      <c r="J94"/>
      <c r="K94"/>
      <c r="L94"/>
      <c r="M94"/>
      <c r="N94"/>
      <c r="Q94"/>
      <c r="R94"/>
      <c r="S94"/>
    </row>
    <row r="95" spans="2:19" ht="13" x14ac:dyDescent="0.3">
      <c r="B95"/>
      <c r="C95"/>
      <c r="D95"/>
      <c r="E95"/>
      <c r="F95"/>
      <c r="G95"/>
      <c r="H95"/>
      <c r="I95"/>
      <c r="J95"/>
      <c r="K95"/>
      <c r="L95"/>
      <c r="M95"/>
      <c r="N95"/>
      <c r="Q95"/>
      <c r="R95"/>
      <c r="S95"/>
    </row>
    <row r="96" spans="2:19" ht="13" x14ac:dyDescent="0.3">
      <c r="B96"/>
      <c r="C96"/>
      <c r="D96"/>
      <c r="E96"/>
      <c r="F96"/>
      <c r="G96"/>
      <c r="H96"/>
      <c r="I96"/>
      <c r="J96"/>
      <c r="K96"/>
      <c r="L96"/>
      <c r="M96"/>
      <c r="N96"/>
      <c r="Q96"/>
      <c r="R96"/>
      <c r="S96"/>
    </row>
    <row r="97" spans="2:19" ht="13" x14ac:dyDescent="0.3">
      <c r="B97"/>
      <c r="C97"/>
      <c r="D97"/>
      <c r="E97"/>
      <c r="F97"/>
      <c r="G97"/>
      <c r="H97"/>
      <c r="I97"/>
      <c r="J97"/>
      <c r="K97"/>
      <c r="L97"/>
      <c r="M97"/>
      <c r="N97"/>
      <c r="Q97"/>
      <c r="R97"/>
      <c r="S97"/>
    </row>
    <row r="98" spans="2:19" ht="13" x14ac:dyDescent="0.3">
      <c r="B98"/>
      <c r="C98"/>
      <c r="D98"/>
      <c r="E98"/>
      <c r="F98"/>
      <c r="G98"/>
      <c r="H98"/>
      <c r="I98"/>
      <c r="J98"/>
      <c r="K98"/>
      <c r="L98"/>
      <c r="M98"/>
      <c r="N98"/>
      <c r="Q98"/>
      <c r="R98"/>
      <c r="S98"/>
    </row>
    <row r="99" spans="2:19" ht="13" x14ac:dyDescent="0.3">
      <c r="B99"/>
      <c r="C99"/>
      <c r="D99"/>
      <c r="E99"/>
      <c r="F99"/>
      <c r="G99"/>
      <c r="H99"/>
      <c r="I99"/>
      <c r="J99"/>
      <c r="K99"/>
      <c r="L99"/>
      <c r="M99"/>
      <c r="N99"/>
      <c r="Q99"/>
      <c r="R99"/>
      <c r="S99"/>
    </row>
    <row r="100" spans="2:19" ht="13" x14ac:dyDescent="0.3">
      <c r="B100"/>
      <c r="C100"/>
      <c r="D100"/>
      <c r="E100"/>
      <c r="F100"/>
      <c r="G100"/>
      <c r="H100"/>
      <c r="I100"/>
      <c r="J100"/>
      <c r="K100"/>
      <c r="L100"/>
      <c r="M100"/>
      <c r="N100"/>
      <c r="Q100"/>
      <c r="R100"/>
      <c r="S100"/>
    </row>
    <row r="101" spans="2:19" ht="13" x14ac:dyDescent="0.3">
      <c r="B101"/>
      <c r="C101"/>
      <c r="D101"/>
      <c r="E101"/>
      <c r="F101"/>
      <c r="G101"/>
      <c r="H101"/>
      <c r="I101"/>
      <c r="J101"/>
      <c r="K101"/>
      <c r="L101"/>
      <c r="M101"/>
      <c r="N101"/>
      <c r="Q101"/>
      <c r="R101"/>
      <c r="S101"/>
    </row>
    <row r="102" spans="2:19" ht="13" x14ac:dyDescent="0.3">
      <c r="B102"/>
      <c r="C102"/>
      <c r="D102"/>
      <c r="E102"/>
      <c r="F102"/>
      <c r="G102"/>
      <c r="H102"/>
      <c r="I102"/>
      <c r="J102"/>
      <c r="K102"/>
      <c r="L102"/>
      <c r="M102"/>
      <c r="N102"/>
      <c r="Q102"/>
      <c r="R102"/>
      <c r="S102"/>
    </row>
    <row r="103" spans="2:19" ht="13" x14ac:dyDescent="0.3">
      <c r="B103"/>
      <c r="C103"/>
      <c r="D103"/>
      <c r="E103"/>
      <c r="F103"/>
      <c r="G103"/>
      <c r="H103"/>
      <c r="I103"/>
      <c r="J103"/>
      <c r="K103"/>
      <c r="L103"/>
      <c r="M103"/>
      <c r="N103"/>
      <c r="Q103"/>
      <c r="R103"/>
      <c r="S103"/>
    </row>
    <row r="104" spans="2:19" ht="13" x14ac:dyDescent="0.3">
      <c r="Q104"/>
      <c r="R104"/>
      <c r="S104"/>
    </row>
    <row r="105" spans="2:19" ht="13" x14ac:dyDescent="0.3">
      <c r="Q105"/>
      <c r="R105"/>
      <c r="S105"/>
    </row>
    <row r="106" spans="2:19" ht="13" x14ac:dyDescent="0.3">
      <c r="Q106"/>
      <c r="R106"/>
      <c r="S106"/>
    </row>
    <row r="107" spans="2:19" ht="13" x14ac:dyDescent="0.3">
      <c r="Q107"/>
      <c r="R107"/>
      <c r="S107"/>
    </row>
    <row r="108" spans="2:19" ht="13" x14ac:dyDescent="0.3">
      <c r="Q108"/>
      <c r="R108"/>
      <c r="S108"/>
    </row>
    <row r="109" spans="2:19" ht="13" x14ac:dyDescent="0.3">
      <c r="Q109"/>
      <c r="R109"/>
      <c r="S109"/>
    </row>
    <row r="110" spans="2:19" ht="13" x14ac:dyDescent="0.3">
      <c r="Q110"/>
      <c r="R110"/>
      <c r="S110"/>
    </row>
    <row r="111" spans="2:19" ht="13" x14ac:dyDescent="0.3">
      <c r="Q111"/>
      <c r="R111"/>
      <c r="S111"/>
    </row>
    <row r="112" spans="2:19" ht="13" x14ac:dyDescent="0.3">
      <c r="Q112"/>
      <c r="R112"/>
      <c r="S112"/>
    </row>
    <row r="113" spans="17:19" ht="13" x14ac:dyDescent="0.3">
      <c r="Q113"/>
      <c r="R113"/>
      <c r="S113"/>
    </row>
    <row r="114" spans="17:19" ht="13" x14ac:dyDescent="0.3">
      <c r="Q114"/>
      <c r="R114"/>
      <c r="S114"/>
    </row>
    <row r="115" spans="17:19" ht="13" x14ac:dyDescent="0.3">
      <c r="Q115"/>
      <c r="R115"/>
      <c r="S115"/>
    </row>
    <row r="116" spans="17:19" ht="13" x14ac:dyDescent="0.3">
      <c r="Q116"/>
      <c r="R116"/>
      <c r="S116"/>
    </row>
    <row r="117" spans="17:19" ht="13" x14ac:dyDescent="0.3">
      <c r="Q117"/>
      <c r="R117"/>
      <c r="S117"/>
    </row>
    <row r="118" spans="17:19" ht="13" x14ac:dyDescent="0.3">
      <c r="Q118"/>
      <c r="R118"/>
      <c r="S118"/>
    </row>
    <row r="119" spans="17:19" ht="13" x14ac:dyDescent="0.3">
      <c r="Q119"/>
      <c r="R119"/>
      <c r="S119"/>
    </row>
    <row r="120" spans="17:19" ht="13" x14ac:dyDescent="0.3">
      <c r="Q120"/>
      <c r="R120"/>
      <c r="S120"/>
    </row>
    <row r="121" spans="17:19" ht="13" x14ac:dyDescent="0.3">
      <c r="Q121"/>
      <c r="R121"/>
      <c r="S121"/>
    </row>
    <row r="122" spans="17:19" ht="13" x14ac:dyDescent="0.3">
      <c r="Q122"/>
      <c r="R122"/>
      <c r="S122"/>
    </row>
    <row r="123" spans="17:19" ht="13" x14ac:dyDescent="0.3">
      <c r="Q123"/>
      <c r="R123"/>
      <c r="S123"/>
    </row>
    <row r="124" spans="17:19" ht="13" x14ac:dyDescent="0.3">
      <c r="Q124"/>
      <c r="R124"/>
      <c r="S124"/>
    </row>
    <row r="125" spans="17:19" ht="13" x14ac:dyDescent="0.3">
      <c r="Q125"/>
      <c r="R125"/>
      <c r="S125"/>
    </row>
    <row r="126" spans="17:19" ht="13" x14ac:dyDescent="0.3">
      <c r="Q126"/>
      <c r="R126"/>
      <c r="S126"/>
    </row>
    <row r="127" spans="17:19" ht="13" x14ac:dyDescent="0.3">
      <c r="Q127"/>
      <c r="R127"/>
      <c r="S127"/>
    </row>
    <row r="128" spans="17:19" ht="13" x14ac:dyDescent="0.3">
      <c r="Q128"/>
      <c r="R128"/>
      <c r="S128"/>
    </row>
    <row r="129" spans="17:19" ht="13" x14ac:dyDescent="0.3">
      <c r="Q129"/>
      <c r="R129"/>
      <c r="S129"/>
    </row>
    <row r="130" spans="17:19" ht="13" x14ac:dyDescent="0.3">
      <c r="Q130"/>
      <c r="R130"/>
      <c r="S130"/>
    </row>
    <row r="131" spans="17:19" ht="13" x14ac:dyDescent="0.3">
      <c r="Q131"/>
      <c r="R131"/>
      <c r="S131"/>
    </row>
    <row r="132" spans="17:19" ht="13" x14ac:dyDescent="0.3">
      <c r="Q132"/>
      <c r="R132"/>
      <c r="S132"/>
    </row>
    <row r="133" spans="17:19" ht="13" x14ac:dyDescent="0.3">
      <c r="Q133"/>
      <c r="R133"/>
      <c r="S133"/>
    </row>
    <row r="134" spans="17:19" ht="13" x14ac:dyDescent="0.3">
      <c r="Q134"/>
      <c r="R134"/>
      <c r="S134"/>
    </row>
    <row r="135" spans="17:19" ht="13" x14ac:dyDescent="0.3">
      <c r="Q135"/>
      <c r="R135"/>
    </row>
    <row r="136" spans="17:19" ht="13" x14ac:dyDescent="0.3">
      <c r="Q136"/>
      <c r="R136"/>
    </row>
    <row r="137" spans="17:19" ht="13" x14ac:dyDescent="0.3">
      <c r="Q137"/>
      <c r="R137"/>
    </row>
    <row r="138" spans="17:19" ht="13" x14ac:dyDescent="0.3">
      <c r="Q138"/>
      <c r="R138"/>
    </row>
    <row r="139" spans="17:19" ht="13" x14ac:dyDescent="0.3">
      <c r="Q139"/>
      <c r="R139"/>
    </row>
    <row r="140" spans="17:19" ht="13" x14ac:dyDescent="0.3">
      <c r="Q140"/>
      <c r="R140"/>
    </row>
    <row r="141" spans="17:19" ht="13" x14ac:dyDescent="0.3">
      <c r="Q141"/>
      <c r="R141"/>
    </row>
    <row r="142" spans="17:19" ht="13" x14ac:dyDescent="0.3">
      <c r="Q142"/>
      <c r="R142"/>
    </row>
    <row r="143" spans="17:19" ht="13" x14ac:dyDescent="0.3">
      <c r="Q143"/>
      <c r="R143"/>
    </row>
    <row r="144" spans="17:19" ht="13" x14ac:dyDescent="0.3">
      <c r="Q144"/>
      <c r="R144"/>
    </row>
    <row r="145" spans="17:18" ht="13" x14ac:dyDescent="0.3">
      <c r="Q145"/>
      <c r="R145"/>
    </row>
    <row r="146" spans="17:18" ht="13" x14ac:dyDescent="0.3">
      <c r="Q146"/>
      <c r="R146"/>
    </row>
    <row r="147" spans="17:18" ht="13" x14ac:dyDescent="0.3">
      <c r="Q147"/>
      <c r="R147"/>
    </row>
    <row r="148" spans="17:18" ht="13" x14ac:dyDescent="0.3">
      <c r="Q148"/>
      <c r="R148"/>
    </row>
    <row r="149" spans="17:18" ht="13" x14ac:dyDescent="0.3">
      <c r="Q149"/>
      <c r="R149"/>
    </row>
    <row r="150" spans="17:18" ht="13" x14ac:dyDescent="0.3">
      <c r="Q150"/>
      <c r="R150"/>
    </row>
    <row r="151" spans="17:18" ht="13" x14ac:dyDescent="0.3">
      <c r="Q151"/>
      <c r="R151"/>
    </row>
    <row r="152" spans="17:18" ht="13" x14ac:dyDescent="0.3">
      <c r="Q152"/>
      <c r="R152"/>
    </row>
    <row r="153" spans="17:18" ht="13" x14ac:dyDescent="0.3">
      <c r="Q153"/>
      <c r="R153"/>
    </row>
    <row r="154" spans="17:18" ht="13" x14ac:dyDescent="0.3">
      <c r="Q154"/>
      <c r="R15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ThisWorkbook.Create_Instruction_Send_To_Answer_1A">
                <anchor moveWithCells="1" sizeWithCells="1">
                  <from>
                    <xdr:col>10</xdr:col>
                    <xdr:colOff>50800</xdr:colOff>
                    <xdr:row>7</xdr:row>
                    <xdr:rowOff>165100</xdr:rowOff>
                  </from>
                  <to>
                    <xdr:col>13</xdr:col>
                    <xdr:colOff>184150</xdr:colOff>
                    <xdr:row>11</xdr:row>
                    <xdr:rowOff>38100</xdr:rowOff>
                  </to>
                </anchor>
              </controlPr>
            </control>
          </mc:Choice>
        </mc:AlternateContent>
        <mc:AlternateContent xmlns:mc="http://schemas.openxmlformats.org/markup-compatibility/2006">
          <mc:Choice Requires="x14">
            <control shapeId="3074" r:id="rId7" name="Button 2">
              <controlPr defaultSize="0" print="0" autoFill="0" autoPict="0" macro="[0]!ThisWorkbook.Create_Instruction_Send_To_Answer_1B">
                <anchor moveWithCells="1" sizeWithCells="1">
                  <from>
                    <xdr:col>9</xdr:col>
                    <xdr:colOff>908050</xdr:colOff>
                    <xdr:row>35</xdr:row>
                    <xdr:rowOff>127000</xdr:rowOff>
                  </from>
                  <to>
                    <xdr:col>13</xdr:col>
                    <xdr:colOff>114300</xdr:colOff>
                    <xdr:row>38</xdr:row>
                    <xdr:rowOff>165100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191"/>
  <sheetViews>
    <sheetView showGridLines="0" zoomScale="80" zoomScaleNormal="80" zoomScalePageLayoutView="80" workbookViewId="0"/>
  </sheetViews>
  <sheetFormatPr defaultColWidth="9.33203125" defaultRowHeight="12.5" outlineLevelRow="1" x14ac:dyDescent="0.25"/>
  <cols>
    <col min="1" max="5" width="9.33203125" style="2"/>
    <col min="6" max="6" width="15.33203125" style="2" customWidth="1"/>
    <col min="7"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5" ht="13" x14ac:dyDescent="0.3">
      <c r="A1" s="3" t="str">
        <f>Introduction!A1</f>
        <v>Problem Solving with Excel</v>
      </c>
    </row>
    <row r="2" spans="1:15" ht="13" x14ac:dyDescent="0.3">
      <c r="A2" s="3" t="str">
        <f>Introduction!A2</f>
        <v>Week 3</v>
      </c>
    </row>
    <row r="3" spans="1:15" ht="13" x14ac:dyDescent="0.3">
      <c r="A3" s="3" t="str">
        <f>Introduction!A3</f>
        <v>Pivot Tables</v>
      </c>
    </row>
    <row r="4" spans="1:15" ht="13" x14ac:dyDescent="0.3">
      <c r="A4" s="3" t="str">
        <f ca="1">MID(CELL("Filename",I7),SEARCH("]",CELL("Filename",I7),1)+1,100)</f>
        <v xml:space="preserve">Section 2 - Navigating </v>
      </c>
    </row>
    <row r="5" spans="1:15" x14ac:dyDescent="0.25">
      <c r="O5" s="6"/>
    </row>
    <row r="6" spans="1:15" ht="18.5" x14ac:dyDescent="0.45">
      <c r="B6" s="5" t="s">
        <v>263</v>
      </c>
    </row>
    <row r="7" spans="1:15" ht="18.5" hidden="1" outlineLevel="1" x14ac:dyDescent="0.45">
      <c r="B7" s="5"/>
      <c r="F7" s="46" t="s">
        <v>266</v>
      </c>
    </row>
    <row r="8" spans="1:15" hidden="1" outlineLevel="1" x14ac:dyDescent="0.25"/>
    <row r="9" spans="1:15" ht="18.5" hidden="1" outlineLevel="1" x14ac:dyDescent="0.45">
      <c r="B9" s="5"/>
    </row>
    <row r="10" spans="1:15" ht="18.5" hidden="1" outlineLevel="1" x14ac:dyDescent="0.45">
      <c r="B10" s="5"/>
    </row>
    <row r="11" spans="1:15" ht="13" hidden="1" outlineLevel="1" x14ac:dyDescent="0.3">
      <c r="G11"/>
    </row>
    <row r="12" spans="1:15" ht="13" hidden="1" outlineLevel="1" x14ac:dyDescent="0.3">
      <c r="F12"/>
      <c r="G12"/>
      <c r="H12"/>
      <c r="I12"/>
      <c r="J12"/>
    </row>
    <row r="13" spans="1:15" ht="13" hidden="1" outlineLevel="1" x14ac:dyDescent="0.3">
      <c r="F13"/>
      <c r="G13"/>
      <c r="H13"/>
      <c r="I13"/>
      <c r="J13"/>
    </row>
    <row r="14" spans="1:15" ht="13" hidden="1" outlineLevel="1" x14ac:dyDescent="0.3">
      <c r="F14" s="51"/>
      <c r="G14" s="53"/>
      <c r="H14"/>
      <c r="I14"/>
      <c r="J14"/>
    </row>
    <row r="15" spans="1:15" ht="13" hidden="1" outlineLevel="1" x14ac:dyDescent="0.3">
      <c r="F15"/>
      <c r="G15"/>
      <c r="H15"/>
      <c r="I15"/>
      <c r="J15"/>
    </row>
    <row r="16" spans="1:15" ht="13" hidden="1" outlineLevel="1" x14ac:dyDescent="0.3">
      <c r="F16"/>
      <c r="G16"/>
      <c r="H16"/>
      <c r="I16"/>
      <c r="J16"/>
    </row>
    <row r="17" spans="6:10" ht="13" hidden="1" outlineLevel="1" x14ac:dyDescent="0.3">
      <c r="F17"/>
      <c r="G17"/>
      <c r="H17"/>
      <c r="I17"/>
      <c r="J17"/>
    </row>
    <row r="18" spans="6:10" ht="13" hidden="1" outlineLevel="1" x14ac:dyDescent="0.3">
      <c r="F18"/>
      <c r="G18"/>
      <c r="H18"/>
      <c r="I18"/>
      <c r="J18"/>
    </row>
    <row r="19" spans="6:10" ht="13" hidden="1" outlineLevel="1" x14ac:dyDescent="0.3">
      <c r="F19"/>
      <c r="G19"/>
      <c r="H19"/>
      <c r="I19"/>
      <c r="J19"/>
    </row>
    <row r="20" spans="6:10" ht="13" hidden="1" outlineLevel="1" x14ac:dyDescent="0.3">
      <c r="F20"/>
      <c r="G20"/>
      <c r="H20"/>
      <c r="I20"/>
      <c r="J20"/>
    </row>
    <row r="21" spans="6:10" ht="13" hidden="1" outlineLevel="1" x14ac:dyDescent="0.3">
      <c r="F21"/>
      <c r="G21"/>
      <c r="H21"/>
      <c r="I21"/>
      <c r="J21"/>
    </row>
    <row r="22" spans="6:10" ht="13" hidden="1" outlineLevel="1" x14ac:dyDescent="0.3">
      <c r="F22"/>
      <c r="G22"/>
      <c r="H22"/>
      <c r="I22"/>
      <c r="J22"/>
    </row>
    <row r="23" spans="6:10" ht="13" hidden="1" outlineLevel="1" x14ac:dyDescent="0.3">
      <c r="F23"/>
      <c r="G23"/>
      <c r="H23"/>
      <c r="I23"/>
      <c r="J23"/>
    </row>
    <row r="24" spans="6:10" ht="13" hidden="1" outlineLevel="1" x14ac:dyDescent="0.3">
      <c r="F24"/>
      <c r="G24"/>
      <c r="H24"/>
      <c r="I24"/>
      <c r="J24"/>
    </row>
    <row r="25" spans="6:10" ht="13" hidden="1" outlineLevel="1" x14ac:dyDescent="0.3">
      <c r="F25"/>
      <c r="G25"/>
      <c r="H25"/>
      <c r="I25"/>
      <c r="J25"/>
    </row>
    <row r="26" spans="6:10" ht="13" hidden="1" outlineLevel="1" x14ac:dyDescent="0.3">
      <c r="F26"/>
      <c r="G26"/>
      <c r="H26"/>
      <c r="I26"/>
      <c r="J26"/>
    </row>
    <row r="27" spans="6:10" ht="13" hidden="1" outlineLevel="1" x14ac:dyDescent="0.3">
      <c r="F27"/>
      <c r="G27"/>
      <c r="H27"/>
      <c r="I27"/>
      <c r="J27"/>
    </row>
    <row r="28" spans="6:10" ht="13" hidden="1" outlineLevel="1" x14ac:dyDescent="0.3">
      <c r="F28"/>
      <c r="G28"/>
      <c r="H28"/>
      <c r="I28"/>
      <c r="J28"/>
    </row>
    <row r="29" spans="6:10" ht="13" hidden="1" outlineLevel="1" x14ac:dyDescent="0.3">
      <c r="F29"/>
      <c r="G29"/>
      <c r="H29"/>
      <c r="I29"/>
      <c r="J29"/>
    </row>
    <row r="30" spans="6:10" ht="13" hidden="1" outlineLevel="1" x14ac:dyDescent="0.3">
      <c r="F30"/>
      <c r="G30"/>
      <c r="H30"/>
      <c r="I30"/>
      <c r="J30"/>
    </row>
    <row r="31" spans="6:10" ht="13" hidden="1" outlineLevel="1" x14ac:dyDescent="0.3">
      <c r="F31"/>
      <c r="G31"/>
      <c r="H31"/>
      <c r="I31"/>
      <c r="J31"/>
    </row>
    <row r="32" spans="6:10" ht="13" hidden="1" outlineLevel="1" x14ac:dyDescent="0.3">
      <c r="F32"/>
      <c r="G32"/>
      <c r="H32"/>
      <c r="I32"/>
      <c r="J32"/>
    </row>
    <row r="33" spans="6:10" ht="13" hidden="1" outlineLevel="1" x14ac:dyDescent="0.3">
      <c r="F33"/>
      <c r="G33"/>
      <c r="H33"/>
      <c r="I33"/>
      <c r="J33"/>
    </row>
    <row r="34" spans="6:10" ht="13" hidden="1" outlineLevel="1" x14ac:dyDescent="0.3">
      <c r="F34"/>
      <c r="G34"/>
      <c r="H34"/>
      <c r="I34"/>
      <c r="J34"/>
    </row>
    <row r="35" spans="6:10" ht="13" hidden="1" outlineLevel="1" x14ac:dyDescent="0.3">
      <c r="F35"/>
      <c r="G35"/>
      <c r="H35"/>
      <c r="I35"/>
      <c r="J35"/>
    </row>
    <row r="36" spans="6:10" ht="13" hidden="1" outlineLevel="1" x14ac:dyDescent="0.3">
      <c r="F36"/>
      <c r="G36"/>
      <c r="H36"/>
      <c r="I36"/>
      <c r="J36"/>
    </row>
    <row r="37" spans="6:10" ht="13" hidden="1" outlineLevel="1" x14ac:dyDescent="0.3">
      <c r="F37"/>
      <c r="G37"/>
      <c r="H37"/>
      <c r="I37"/>
      <c r="J37"/>
    </row>
    <row r="38" spans="6:10" ht="13" hidden="1" outlineLevel="1" x14ac:dyDescent="0.3">
      <c r="F38"/>
      <c r="G38"/>
      <c r="H38"/>
      <c r="I38"/>
      <c r="J38"/>
    </row>
    <row r="39" spans="6:10" ht="13" hidden="1" outlineLevel="1" x14ac:dyDescent="0.3">
      <c r="F39"/>
      <c r="G39"/>
      <c r="H39"/>
      <c r="I39"/>
      <c r="J39"/>
    </row>
    <row r="40" spans="6:10" ht="13" hidden="1" outlineLevel="1" x14ac:dyDescent="0.3">
      <c r="F40"/>
      <c r="G40"/>
      <c r="H40"/>
      <c r="I40"/>
      <c r="J40"/>
    </row>
    <row r="41" spans="6:10" ht="13" hidden="1" outlineLevel="1" x14ac:dyDescent="0.3">
      <c r="F41"/>
      <c r="G41"/>
      <c r="H41"/>
      <c r="I41"/>
      <c r="J41"/>
    </row>
    <row r="42" spans="6:10" ht="13" hidden="1" outlineLevel="1" x14ac:dyDescent="0.3">
      <c r="F42"/>
      <c r="G42"/>
      <c r="H42"/>
      <c r="I42"/>
      <c r="J42"/>
    </row>
    <row r="43" spans="6:10" ht="13" hidden="1" outlineLevel="1" x14ac:dyDescent="0.3">
      <c r="F43"/>
      <c r="G43"/>
      <c r="H43"/>
      <c r="I43"/>
      <c r="J43"/>
    </row>
    <row r="44" spans="6:10" ht="13" hidden="1" outlineLevel="1" x14ac:dyDescent="0.3">
      <c r="F44"/>
      <c r="G44"/>
      <c r="H44"/>
      <c r="I44"/>
      <c r="J44"/>
    </row>
    <row r="45" spans="6:10" ht="13" hidden="1" outlineLevel="1" x14ac:dyDescent="0.3">
      <c r="F45"/>
      <c r="G45"/>
      <c r="H45"/>
      <c r="I45"/>
      <c r="J45"/>
    </row>
    <row r="46" spans="6:10" ht="13" hidden="1" outlineLevel="1" x14ac:dyDescent="0.3">
      <c r="F46"/>
      <c r="G46"/>
      <c r="H46"/>
      <c r="I46"/>
      <c r="J46"/>
    </row>
    <row r="47" spans="6:10" ht="13" hidden="1" outlineLevel="1" x14ac:dyDescent="0.3">
      <c r="F47"/>
      <c r="G47"/>
      <c r="H47"/>
      <c r="I47"/>
      <c r="J47"/>
    </row>
    <row r="48" spans="6:10" ht="13" hidden="1" outlineLevel="1" x14ac:dyDescent="0.3">
      <c r="F48"/>
      <c r="G48"/>
      <c r="H48"/>
      <c r="I48"/>
      <c r="J48"/>
    </row>
    <row r="49" spans="6:10" ht="13" hidden="1" outlineLevel="1" x14ac:dyDescent="0.3">
      <c r="F49"/>
      <c r="G49"/>
      <c r="H49"/>
      <c r="I49"/>
      <c r="J49"/>
    </row>
    <row r="50" spans="6:10" ht="13" hidden="1" outlineLevel="1" x14ac:dyDescent="0.3">
      <c r="F50"/>
      <c r="G50"/>
      <c r="H50"/>
      <c r="I50"/>
      <c r="J50"/>
    </row>
    <row r="51" spans="6:10" ht="13" hidden="1" outlineLevel="1" x14ac:dyDescent="0.3">
      <c r="F51"/>
      <c r="G51"/>
      <c r="H51"/>
      <c r="I51"/>
      <c r="J51"/>
    </row>
    <row r="52" spans="6:10" ht="13" hidden="1" outlineLevel="1" x14ac:dyDescent="0.3">
      <c r="F52"/>
      <c r="G52"/>
      <c r="H52"/>
      <c r="I52"/>
      <c r="J52"/>
    </row>
    <row r="53" spans="6:10" ht="13" hidden="1" outlineLevel="1" x14ac:dyDescent="0.3">
      <c r="F53"/>
      <c r="G53"/>
      <c r="H53"/>
      <c r="I53"/>
      <c r="J53"/>
    </row>
    <row r="54" spans="6:10" ht="13" hidden="1" outlineLevel="1" x14ac:dyDescent="0.3">
      <c r="F54"/>
      <c r="G54"/>
      <c r="H54"/>
      <c r="I54"/>
      <c r="J54"/>
    </row>
    <row r="55" spans="6:10" ht="13" hidden="1" outlineLevel="1" x14ac:dyDescent="0.3">
      <c r="F55"/>
      <c r="G55"/>
      <c r="H55"/>
      <c r="I55"/>
      <c r="J55"/>
    </row>
    <row r="56" spans="6:10" ht="13" hidden="1" outlineLevel="1" x14ac:dyDescent="0.3">
      <c r="F56"/>
      <c r="G56"/>
      <c r="H56"/>
      <c r="I56"/>
      <c r="J56"/>
    </row>
    <row r="57" spans="6:10" ht="13" hidden="1" outlineLevel="1" x14ac:dyDescent="0.3">
      <c r="F57"/>
      <c r="G57"/>
      <c r="H57"/>
      <c r="I57"/>
      <c r="J57"/>
    </row>
    <row r="58" spans="6:10" ht="13" hidden="1" outlineLevel="1" x14ac:dyDescent="0.3">
      <c r="F58"/>
      <c r="G58"/>
      <c r="H58"/>
      <c r="I58"/>
      <c r="J58"/>
    </row>
    <row r="59" spans="6:10" ht="13" hidden="1" outlineLevel="1" x14ac:dyDescent="0.3">
      <c r="F59"/>
      <c r="G59"/>
      <c r="H59"/>
      <c r="I59"/>
      <c r="J59"/>
    </row>
    <row r="60" spans="6:10" ht="13" hidden="1" outlineLevel="1" x14ac:dyDescent="0.3">
      <c r="F60"/>
      <c r="G60"/>
      <c r="H60"/>
      <c r="I60"/>
      <c r="J60"/>
    </row>
    <row r="61" spans="6:10" ht="13" hidden="1" outlineLevel="1" x14ac:dyDescent="0.3">
      <c r="F61"/>
      <c r="G61"/>
      <c r="H61"/>
      <c r="I61"/>
      <c r="J61"/>
    </row>
    <row r="62" spans="6:10" ht="13" hidden="1" outlineLevel="1" x14ac:dyDescent="0.3">
      <c r="F62"/>
      <c r="G62"/>
      <c r="H62"/>
      <c r="I62"/>
      <c r="J62"/>
    </row>
    <row r="63" spans="6:10" ht="13" hidden="1" outlineLevel="1" x14ac:dyDescent="0.3">
      <c r="F63"/>
      <c r="G63"/>
      <c r="H63"/>
      <c r="I63"/>
      <c r="J63"/>
    </row>
    <row r="64" spans="6:10" ht="13" hidden="1" outlineLevel="1" x14ac:dyDescent="0.3">
      <c r="F64"/>
      <c r="G64"/>
      <c r="H64"/>
      <c r="I64"/>
      <c r="J64"/>
    </row>
    <row r="65" spans="6:10" ht="13" hidden="1" outlineLevel="1" x14ac:dyDescent="0.3">
      <c r="F65"/>
      <c r="G65"/>
      <c r="H65"/>
      <c r="I65"/>
      <c r="J65"/>
    </row>
    <row r="66" spans="6:10" ht="13" hidden="1" outlineLevel="1" x14ac:dyDescent="0.3">
      <c r="F66"/>
      <c r="G66"/>
      <c r="H66"/>
      <c r="I66"/>
      <c r="J66"/>
    </row>
    <row r="67" spans="6:10" ht="13" hidden="1" outlineLevel="1" x14ac:dyDescent="0.3">
      <c r="F67"/>
      <c r="G67"/>
      <c r="H67"/>
      <c r="I67"/>
      <c r="J67"/>
    </row>
    <row r="68" spans="6:10" ht="13" hidden="1" outlineLevel="1" x14ac:dyDescent="0.3">
      <c r="F68"/>
      <c r="G68"/>
      <c r="H68"/>
      <c r="I68"/>
      <c r="J68"/>
    </row>
    <row r="69" spans="6:10" ht="13" hidden="1" outlineLevel="1" x14ac:dyDescent="0.3">
      <c r="F69"/>
      <c r="G69"/>
      <c r="H69"/>
      <c r="I69"/>
      <c r="J69"/>
    </row>
    <row r="70" spans="6:10" ht="13" hidden="1" outlineLevel="1" x14ac:dyDescent="0.3">
      <c r="F70"/>
      <c r="G70"/>
      <c r="H70"/>
      <c r="I70"/>
      <c r="J70"/>
    </row>
    <row r="71" spans="6:10" ht="13" hidden="1" outlineLevel="1" x14ac:dyDescent="0.3">
      <c r="F71"/>
      <c r="G71"/>
      <c r="H71"/>
      <c r="I71"/>
      <c r="J71"/>
    </row>
    <row r="72" spans="6:10" ht="13" hidden="1" outlineLevel="1" x14ac:dyDescent="0.3">
      <c r="F72"/>
      <c r="G72"/>
      <c r="H72"/>
      <c r="I72"/>
      <c r="J72"/>
    </row>
    <row r="73" spans="6:10" ht="13" hidden="1" outlineLevel="1" x14ac:dyDescent="0.3">
      <c r="F73"/>
      <c r="G73"/>
      <c r="H73"/>
      <c r="I73"/>
      <c r="J73"/>
    </row>
    <row r="74" spans="6:10" ht="13" hidden="1" outlineLevel="1" x14ac:dyDescent="0.3">
      <c r="F74"/>
      <c r="G74"/>
      <c r="H74"/>
      <c r="I74"/>
      <c r="J74"/>
    </row>
    <row r="75" spans="6:10" ht="13" hidden="1" outlineLevel="1" x14ac:dyDescent="0.3">
      <c r="F75"/>
      <c r="G75"/>
      <c r="H75"/>
      <c r="I75"/>
      <c r="J75"/>
    </row>
    <row r="76" spans="6:10" ht="13" hidden="1" outlineLevel="1" x14ac:dyDescent="0.3">
      <c r="F76"/>
      <c r="G76"/>
      <c r="H76"/>
      <c r="I76"/>
      <c r="J76"/>
    </row>
    <row r="77" spans="6:10" ht="13" hidden="1" outlineLevel="1" x14ac:dyDescent="0.3">
      <c r="F77"/>
      <c r="G77"/>
      <c r="H77"/>
      <c r="I77"/>
      <c r="J77"/>
    </row>
    <row r="78" spans="6:10" ht="13" hidden="1" outlineLevel="1" x14ac:dyDescent="0.3">
      <c r="F78"/>
      <c r="G78"/>
      <c r="H78"/>
      <c r="I78"/>
      <c r="J78"/>
    </row>
    <row r="79" spans="6:10" ht="13" hidden="1" outlineLevel="1" x14ac:dyDescent="0.3">
      <c r="F79"/>
      <c r="G79"/>
      <c r="H79"/>
      <c r="I79"/>
      <c r="J79"/>
    </row>
    <row r="80" spans="6:10" ht="13" hidden="1" outlineLevel="1" x14ac:dyDescent="0.3">
      <c r="F80"/>
      <c r="G80"/>
      <c r="H80"/>
      <c r="I80"/>
      <c r="J80"/>
    </row>
    <row r="81" spans="6:10" ht="13" hidden="1" outlineLevel="1" x14ac:dyDescent="0.3">
      <c r="F81"/>
      <c r="G81"/>
      <c r="H81"/>
      <c r="I81"/>
      <c r="J81"/>
    </row>
    <row r="82" spans="6:10" ht="13" hidden="1" outlineLevel="1" x14ac:dyDescent="0.3">
      <c r="F82"/>
      <c r="G82"/>
      <c r="H82"/>
      <c r="I82"/>
      <c r="J82"/>
    </row>
    <row r="83" spans="6:10" ht="13" hidden="1" outlineLevel="1" x14ac:dyDescent="0.3">
      <c r="F83"/>
      <c r="G83"/>
      <c r="H83"/>
      <c r="I83"/>
      <c r="J83"/>
    </row>
    <row r="84" spans="6:10" ht="13" hidden="1" outlineLevel="1" x14ac:dyDescent="0.3">
      <c r="F84"/>
      <c r="G84"/>
      <c r="H84"/>
      <c r="I84"/>
      <c r="J84"/>
    </row>
    <row r="85" spans="6:10" ht="13" hidden="1" outlineLevel="1" x14ac:dyDescent="0.3">
      <c r="F85"/>
      <c r="G85"/>
      <c r="H85"/>
      <c r="I85"/>
      <c r="J85"/>
    </row>
    <row r="86" spans="6:10" ht="13" hidden="1" outlineLevel="1" x14ac:dyDescent="0.3">
      <c r="F86"/>
      <c r="G86"/>
      <c r="H86"/>
      <c r="I86"/>
      <c r="J86"/>
    </row>
    <row r="87" spans="6:10" ht="13" hidden="1" outlineLevel="1" x14ac:dyDescent="0.3">
      <c r="F87"/>
      <c r="G87"/>
      <c r="H87"/>
      <c r="I87"/>
      <c r="J87"/>
    </row>
    <row r="88" spans="6:10" ht="13" hidden="1" outlineLevel="1" x14ac:dyDescent="0.3">
      <c r="F88"/>
      <c r="G88"/>
      <c r="H88"/>
      <c r="I88"/>
      <c r="J88"/>
    </row>
    <row r="89" spans="6:10" ht="13" hidden="1" outlineLevel="1" x14ac:dyDescent="0.3">
      <c r="F89"/>
      <c r="G89"/>
      <c r="H89"/>
      <c r="I89"/>
      <c r="J89"/>
    </row>
    <row r="90" spans="6:10" ht="13" hidden="1" outlineLevel="1" x14ac:dyDescent="0.3">
      <c r="F90"/>
      <c r="G90"/>
      <c r="H90"/>
      <c r="I90"/>
      <c r="J90"/>
    </row>
    <row r="91" spans="6:10" ht="13" hidden="1" outlineLevel="1" x14ac:dyDescent="0.3">
      <c r="F91"/>
      <c r="G91"/>
      <c r="H91"/>
      <c r="I91"/>
      <c r="J91"/>
    </row>
    <row r="92" spans="6:10" ht="13" hidden="1" outlineLevel="1" x14ac:dyDescent="0.3">
      <c r="F92"/>
      <c r="G92"/>
      <c r="H92"/>
      <c r="I92"/>
      <c r="J92"/>
    </row>
    <row r="93" spans="6:10" ht="13" hidden="1" outlineLevel="1" x14ac:dyDescent="0.3">
      <c r="F93"/>
      <c r="G93"/>
      <c r="H93"/>
      <c r="I93"/>
      <c r="J93"/>
    </row>
    <row r="94" spans="6:10" ht="13" hidden="1" outlineLevel="1" x14ac:dyDescent="0.3">
      <c r="F94"/>
      <c r="G94"/>
      <c r="H94"/>
      <c r="I94"/>
      <c r="J94"/>
    </row>
    <row r="95" spans="6:10" ht="13" hidden="1" outlineLevel="1" x14ac:dyDescent="0.3">
      <c r="F95"/>
      <c r="G95"/>
      <c r="H95"/>
      <c r="I95"/>
      <c r="J95"/>
    </row>
    <row r="96" spans="6:10" ht="13" hidden="1" outlineLevel="1" x14ac:dyDescent="0.3">
      <c r="F96"/>
      <c r="G96"/>
      <c r="H96"/>
      <c r="I96"/>
      <c r="J96"/>
    </row>
    <row r="97" spans="2:10" ht="13" hidden="1" outlineLevel="1" x14ac:dyDescent="0.3">
      <c r="F97"/>
      <c r="G97"/>
      <c r="H97"/>
      <c r="I97"/>
      <c r="J97"/>
    </row>
    <row r="98" spans="2:10" ht="13" hidden="1" outlineLevel="1" x14ac:dyDescent="0.3">
      <c r="F98"/>
      <c r="G98"/>
      <c r="H98"/>
      <c r="I98"/>
      <c r="J98"/>
    </row>
    <row r="99" spans="2:10" ht="13" hidden="1" outlineLevel="1" x14ac:dyDescent="0.3">
      <c r="F99"/>
      <c r="G99"/>
      <c r="H99"/>
      <c r="I99"/>
      <c r="J99"/>
    </row>
    <row r="100" spans="2:10" ht="13" hidden="1" outlineLevel="1" x14ac:dyDescent="0.3">
      <c r="F100"/>
      <c r="G100"/>
      <c r="H100"/>
      <c r="I100"/>
      <c r="J100"/>
    </row>
    <row r="101" spans="2:10" ht="13" hidden="1" outlineLevel="1" x14ac:dyDescent="0.3">
      <c r="F101"/>
      <c r="G101"/>
      <c r="H101"/>
      <c r="I101"/>
      <c r="J101"/>
    </row>
    <row r="102" spans="2:10" ht="13" hidden="1" outlineLevel="1" x14ac:dyDescent="0.3">
      <c r="F102"/>
      <c r="G102"/>
      <c r="H102"/>
      <c r="I102"/>
      <c r="J102"/>
    </row>
    <row r="103" spans="2:10" ht="13" hidden="1" outlineLevel="1" x14ac:dyDescent="0.3">
      <c r="F103"/>
      <c r="G103"/>
      <c r="H103"/>
      <c r="I103"/>
      <c r="J103"/>
    </row>
    <row r="104" spans="2:10" ht="13" hidden="1" outlineLevel="1" x14ac:dyDescent="0.3">
      <c r="F104"/>
      <c r="G104"/>
      <c r="H104"/>
      <c r="I104"/>
      <c r="J104"/>
    </row>
    <row r="105" spans="2:10" ht="18.5" collapsed="1" x14ac:dyDescent="0.45">
      <c r="B105" s="5" t="s">
        <v>262</v>
      </c>
      <c r="F105"/>
      <c r="G105"/>
      <c r="H105"/>
      <c r="I105"/>
      <c r="J105"/>
    </row>
    <row r="106" spans="2:10" ht="13" hidden="1" outlineLevel="1" x14ac:dyDescent="0.3">
      <c r="F106" s="46" t="s">
        <v>279</v>
      </c>
      <c r="G106"/>
      <c r="H106"/>
      <c r="I106"/>
      <c r="J106"/>
    </row>
    <row r="107" spans="2:10" ht="13" hidden="1" outlineLevel="1" x14ac:dyDescent="0.3">
      <c r="G107"/>
      <c r="H107"/>
      <c r="I107"/>
      <c r="J107"/>
    </row>
    <row r="108" spans="2:10" ht="13" hidden="1" outlineLevel="1" x14ac:dyDescent="0.3">
      <c r="G108"/>
      <c r="H108"/>
      <c r="I108"/>
      <c r="J108"/>
    </row>
    <row r="109" spans="2:10" ht="13" hidden="1" outlineLevel="1" x14ac:dyDescent="0.3">
      <c r="F109"/>
      <c r="G109"/>
      <c r="H109"/>
      <c r="I109"/>
      <c r="J109"/>
    </row>
    <row r="110" spans="2:10" ht="13" hidden="1" outlineLevel="1" x14ac:dyDescent="0.3">
      <c r="F110" s="51"/>
      <c r="G110" s="53"/>
      <c r="H110"/>
      <c r="I110"/>
      <c r="J110"/>
    </row>
    <row r="111" spans="2:10" ht="13" hidden="1" outlineLevel="1" x14ac:dyDescent="0.3">
      <c r="F111" s="51"/>
      <c r="G111" s="53"/>
    </row>
    <row r="112" spans="2:10" ht="13" hidden="1" outlineLevel="1" x14ac:dyDescent="0.3">
      <c r="F112" s="51"/>
      <c r="G112" s="53"/>
    </row>
    <row r="113" spans="2:9" ht="13" hidden="1" outlineLevel="1" x14ac:dyDescent="0.3">
      <c r="F113" s="51"/>
      <c r="G113" s="53"/>
    </row>
    <row r="114" spans="2:9" ht="13" hidden="1" outlineLevel="1" x14ac:dyDescent="0.3">
      <c r="F114" s="51"/>
      <c r="G114" s="53"/>
    </row>
    <row r="115" spans="2:9" hidden="1" outlineLevel="1" collapsed="1" x14ac:dyDescent="0.25"/>
    <row r="116" spans="2:9" ht="13" hidden="1" outlineLevel="1" x14ac:dyDescent="0.3">
      <c r="H116"/>
      <c r="I116"/>
    </row>
    <row r="117" spans="2:9" ht="18.5" collapsed="1" x14ac:dyDescent="0.45">
      <c r="B117" s="5" t="s">
        <v>267</v>
      </c>
      <c r="H117"/>
      <c r="I117"/>
    </row>
    <row r="118" spans="2:9" ht="13" hidden="1" outlineLevel="1" x14ac:dyDescent="0.3">
      <c r="F118" s="46" t="s">
        <v>268</v>
      </c>
      <c r="H118"/>
      <c r="I118"/>
    </row>
    <row r="119" spans="2:9" ht="18" hidden="1" customHeight="1" outlineLevel="1" x14ac:dyDescent="0.3">
      <c r="G119"/>
      <c r="H119"/>
      <c r="I119"/>
    </row>
    <row r="120" spans="2:9" ht="13" hidden="1" outlineLevel="1" x14ac:dyDescent="0.3">
      <c r="F120"/>
      <c r="G120"/>
      <c r="H120"/>
      <c r="I120"/>
    </row>
    <row r="121" spans="2:9" ht="13" hidden="1" outlineLevel="1" x14ac:dyDescent="0.3">
      <c r="F121"/>
      <c r="G121"/>
      <c r="H121"/>
      <c r="I121"/>
    </row>
    <row r="122" spans="2:9" ht="13" hidden="1" outlineLevel="1" x14ac:dyDescent="0.3">
      <c r="F122"/>
      <c r="G122"/>
      <c r="H122"/>
      <c r="I122"/>
    </row>
    <row r="123" spans="2:9" ht="13" hidden="1" outlineLevel="1" x14ac:dyDescent="0.3">
      <c r="F123" s="51"/>
      <c r="G123" s="56"/>
      <c r="H123"/>
      <c r="I123"/>
    </row>
    <row r="124" spans="2:9" ht="13" hidden="1" outlineLevel="1" x14ac:dyDescent="0.3">
      <c r="F124" s="51"/>
      <c r="G124" s="56"/>
      <c r="H124"/>
      <c r="I124"/>
    </row>
    <row r="125" spans="2:9" ht="13" hidden="1" outlineLevel="1" x14ac:dyDescent="0.3">
      <c r="F125" s="51"/>
      <c r="G125" s="56"/>
      <c r="H125"/>
      <c r="I125"/>
    </row>
    <row r="126" spans="2:9" ht="18.5" collapsed="1" x14ac:dyDescent="0.45">
      <c r="B126" s="5" t="s">
        <v>269</v>
      </c>
      <c r="H126"/>
      <c r="I126"/>
    </row>
    <row r="127" spans="2:9" ht="13" hidden="1" outlineLevel="1" x14ac:dyDescent="0.3">
      <c r="F127" s="46" t="s">
        <v>270</v>
      </c>
      <c r="H127"/>
      <c r="I127"/>
    </row>
    <row r="128" spans="2:9" ht="13" hidden="1" outlineLevel="1" x14ac:dyDescent="0.3">
      <c r="H128"/>
      <c r="I128"/>
    </row>
    <row r="129" spans="2:9" ht="13" hidden="1" outlineLevel="1" x14ac:dyDescent="0.3">
      <c r="B129"/>
      <c r="C129"/>
      <c r="D129"/>
      <c r="E129"/>
      <c r="G129"/>
      <c r="H129"/>
      <c r="I129"/>
    </row>
    <row r="130" spans="2:9" ht="13" hidden="1" outlineLevel="1" x14ac:dyDescent="0.3">
      <c r="B130"/>
      <c r="C130"/>
      <c r="D130"/>
      <c r="E130"/>
      <c r="F130"/>
      <c r="G130"/>
    </row>
    <row r="131" spans="2:9" ht="13" hidden="1" outlineLevel="1" x14ac:dyDescent="0.3">
      <c r="B131"/>
      <c r="C131"/>
      <c r="D131"/>
      <c r="E131"/>
      <c r="F131"/>
      <c r="G131"/>
    </row>
    <row r="132" spans="2:9" ht="13" hidden="1" outlineLevel="1" x14ac:dyDescent="0.3">
      <c r="B132"/>
      <c r="C132"/>
      <c r="D132"/>
      <c r="E132"/>
      <c r="F132"/>
      <c r="G132"/>
    </row>
    <row r="133" spans="2:9" ht="13" hidden="1" outlineLevel="1" x14ac:dyDescent="0.3">
      <c r="B133"/>
      <c r="C133"/>
      <c r="D133"/>
      <c r="E133"/>
      <c r="F133" s="51"/>
      <c r="G133" s="54"/>
    </row>
    <row r="134" spans="2:9" hidden="1" outlineLevel="1" x14ac:dyDescent="0.25"/>
    <row r="135" spans="2:9" hidden="1" outlineLevel="1" x14ac:dyDescent="0.25"/>
    <row r="136" spans="2:9" hidden="1" outlineLevel="1" collapsed="1" x14ac:dyDescent="0.25"/>
    <row r="137" spans="2:9" ht="18.5" collapsed="1" x14ac:dyDescent="0.45">
      <c r="B137" s="5" t="s">
        <v>271</v>
      </c>
      <c r="G137"/>
    </row>
    <row r="138" spans="2:9" ht="13" hidden="1" outlineLevel="1" x14ac:dyDescent="0.3">
      <c r="F138" s="46" t="s">
        <v>272</v>
      </c>
      <c r="H138"/>
      <c r="I138"/>
    </row>
    <row r="139" spans="2:9" ht="13" hidden="1" outlineLevel="1" x14ac:dyDescent="0.3">
      <c r="H139"/>
      <c r="I139"/>
    </row>
    <row r="140" spans="2:9" ht="13" hidden="1" outlineLevel="1" x14ac:dyDescent="0.3">
      <c r="F140"/>
      <c r="G140"/>
      <c r="H140"/>
      <c r="I140"/>
    </row>
    <row r="141" spans="2:9" ht="13" hidden="1" outlineLevel="1" x14ac:dyDescent="0.3">
      <c r="F141" s="51"/>
      <c r="G141" s="54"/>
      <c r="H141"/>
      <c r="I141"/>
    </row>
    <row r="142" spans="2:9" ht="13" hidden="1" outlineLevel="1" x14ac:dyDescent="0.3">
      <c r="F142" s="51"/>
      <c r="G142" s="54"/>
      <c r="H142"/>
      <c r="I142"/>
    </row>
    <row r="143" spans="2:9" ht="13" hidden="1" outlineLevel="1" x14ac:dyDescent="0.3">
      <c r="F143" s="51"/>
      <c r="G143" s="54"/>
      <c r="H143"/>
      <c r="I143"/>
    </row>
    <row r="144" spans="2:9" ht="13" hidden="1" outlineLevel="1" x14ac:dyDescent="0.3">
      <c r="F144" s="51"/>
      <c r="G144" s="54"/>
      <c r="H144"/>
      <c r="I144"/>
    </row>
    <row r="145" spans="2:11" ht="18.5" collapsed="1" x14ac:dyDescent="0.45">
      <c r="B145" s="5" t="s">
        <v>273</v>
      </c>
      <c r="H145"/>
      <c r="I145"/>
    </row>
    <row r="146" spans="2:11" ht="13" hidden="1" outlineLevel="1" x14ac:dyDescent="0.3">
      <c r="F146" s="46" t="s">
        <v>274</v>
      </c>
      <c r="H146"/>
      <c r="I146"/>
    </row>
    <row r="147" spans="2:11" ht="13" hidden="1" outlineLevel="1" x14ac:dyDescent="0.3">
      <c r="H147"/>
      <c r="I147"/>
    </row>
    <row r="148" spans="2:11" ht="13" hidden="1" outlineLevel="1" x14ac:dyDescent="0.3">
      <c r="F148"/>
      <c r="G148"/>
      <c r="H148"/>
      <c r="I148"/>
    </row>
    <row r="149" spans="2:11" ht="13" hidden="1" outlineLevel="1" x14ac:dyDescent="0.3">
      <c r="F149"/>
      <c r="G149"/>
      <c r="H149"/>
      <c r="I149"/>
    </row>
    <row r="150" spans="2:11" ht="13" hidden="1" outlineLevel="1" x14ac:dyDescent="0.3">
      <c r="F150"/>
      <c r="G150"/>
      <c r="H150"/>
      <c r="I150"/>
    </row>
    <row r="151" spans="2:11" hidden="1" outlineLevel="1" x14ac:dyDescent="0.25"/>
    <row r="152" spans="2:11" hidden="1" outlineLevel="1" x14ac:dyDescent="0.25"/>
    <row r="153" spans="2:11" hidden="1" outlineLevel="1" x14ac:dyDescent="0.25"/>
    <row r="154" spans="2:11" ht="18.5" collapsed="1" x14ac:dyDescent="0.45">
      <c r="B154" s="5" t="s">
        <v>275</v>
      </c>
    </row>
    <row r="155" spans="2:11" ht="13" hidden="1" outlineLevel="1" x14ac:dyDescent="0.3">
      <c r="F155" s="46" t="s">
        <v>277</v>
      </c>
    </row>
    <row r="156" spans="2:11" hidden="1" outlineLevel="1" x14ac:dyDescent="0.25"/>
    <row r="157" spans="2:11" hidden="1" outlineLevel="1" collapsed="1" x14ac:dyDescent="0.25"/>
    <row r="158" spans="2:11" ht="13" hidden="1" outlineLevel="1" x14ac:dyDescent="0.25">
      <c r="B158" s="71"/>
    </row>
    <row r="159" spans="2:11" ht="13" hidden="1" outlineLevel="1" x14ac:dyDescent="0.3">
      <c r="B159"/>
      <c r="C159"/>
      <c r="D159"/>
      <c r="E159"/>
      <c r="F159" s="46"/>
      <c r="G159"/>
      <c r="H159"/>
      <c r="I159"/>
      <c r="J159"/>
      <c r="K159"/>
    </row>
    <row r="160" spans="2:11" ht="13" hidden="1" outlineLevel="1" x14ac:dyDescent="0.3">
      <c r="B160"/>
      <c r="C160"/>
      <c r="D160"/>
      <c r="E160"/>
      <c r="F160"/>
      <c r="G160"/>
      <c r="H160"/>
      <c r="I160"/>
      <c r="J160"/>
      <c r="K160"/>
    </row>
    <row r="161" spans="2:11" ht="13" hidden="1" outlineLevel="1" x14ac:dyDescent="0.3">
      <c r="B161"/>
      <c r="C161"/>
      <c r="D161"/>
      <c r="E161"/>
      <c r="F161"/>
      <c r="G161"/>
      <c r="H161"/>
      <c r="I161"/>
      <c r="J161"/>
      <c r="K161"/>
    </row>
    <row r="162" spans="2:11" ht="13" hidden="1" outlineLevel="1" x14ac:dyDescent="0.3">
      <c r="B162"/>
      <c r="C162"/>
      <c r="D162"/>
      <c r="E162"/>
      <c r="F162"/>
      <c r="G162"/>
      <c r="H162"/>
      <c r="I162"/>
      <c r="J162"/>
      <c r="K162"/>
    </row>
    <row r="163" spans="2:11" ht="13" hidden="1" outlineLevel="1" x14ac:dyDescent="0.3">
      <c r="C163"/>
      <c r="D163"/>
      <c r="E163"/>
      <c r="F163"/>
      <c r="G163"/>
      <c r="H163"/>
      <c r="I163"/>
      <c r="J163"/>
      <c r="K163"/>
    </row>
    <row r="164" spans="2:11" ht="18.5" hidden="1" outlineLevel="1" x14ac:dyDescent="0.45">
      <c r="B164" s="5"/>
      <c r="C164"/>
      <c r="D164"/>
      <c r="E164"/>
      <c r="F164"/>
      <c r="G164"/>
      <c r="H164"/>
      <c r="I164"/>
      <c r="J164"/>
      <c r="K164"/>
    </row>
    <row r="165" spans="2:11" ht="18.5" collapsed="1" x14ac:dyDescent="0.45">
      <c r="B165" s="5" t="s">
        <v>276</v>
      </c>
      <c r="C165"/>
      <c r="D165"/>
      <c r="E165"/>
      <c r="F165"/>
      <c r="G165"/>
      <c r="H165"/>
      <c r="I165"/>
      <c r="J165"/>
      <c r="K165"/>
    </row>
    <row r="166" spans="2:11" ht="13" hidden="1" outlineLevel="1" x14ac:dyDescent="0.3">
      <c r="C166"/>
      <c r="D166"/>
      <c r="E166"/>
      <c r="F166" s="46" t="s">
        <v>278</v>
      </c>
      <c r="G166"/>
      <c r="H166"/>
      <c r="I166"/>
      <c r="J166"/>
      <c r="K166"/>
    </row>
    <row r="167" spans="2:11" ht="13" hidden="1" outlineLevel="1" x14ac:dyDescent="0.3">
      <c r="G167"/>
      <c r="H167"/>
      <c r="I167"/>
      <c r="J167"/>
      <c r="K167"/>
    </row>
    <row r="168" spans="2:11" ht="13" hidden="1" outlineLevel="1" x14ac:dyDescent="0.3">
      <c r="C168"/>
      <c r="D168"/>
      <c r="E168"/>
      <c r="G168"/>
      <c r="H168"/>
      <c r="I168"/>
      <c r="J168"/>
      <c r="K168"/>
    </row>
    <row r="169" spans="2:11" ht="13" hidden="1" outlineLevel="1" x14ac:dyDescent="0.3">
      <c r="B169" s="71"/>
      <c r="C169"/>
      <c r="D169"/>
      <c r="E169"/>
      <c r="F169"/>
      <c r="G169"/>
      <c r="H169"/>
      <c r="I169"/>
      <c r="J169"/>
      <c r="K169"/>
    </row>
    <row r="170" spans="2:11" ht="13" hidden="1" outlineLevel="1" x14ac:dyDescent="0.3">
      <c r="C170"/>
      <c r="D170"/>
      <c r="E170"/>
      <c r="F170"/>
      <c r="G170"/>
      <c r="H170"/>
      <c r="I170"/>
      <c r="J170"/>
      <c r="K170"/>
    </row>
    <row r="171" spans="2:11" ht="13" hidden="1" outlineLevel="1" x14ac:dyDescent="0.3">
      <c r="C171"/>
      <c r="D171"/>
      <c r="E171"/>
      <c r="F171"/>
      <c r="G171"/>
      <c r="H171"/>
      <c r="I171"/>
      <c r="J171"/>
      <c r="K171"/>
    </row>
    <row r="172" spans="2:11" ht="13" hidden="1" outlineLevel="1" x14ac:dyDescent="0.3">
      <c r="C172"/>
      <c r="D172"/>
      <c r="E172"/>
      <c r="F172"/>
      <c r="G172"/>
      <c r="H172"/>
      <c r="I172"/>
      <c r="J172"/>
      <c r="K172"/>
    </row>
    <row r="173" spans="2:11" ht="13" hidden="1" outlineLevel="1" x14ac:dyDescent="0.3">
      <c r="B173"/>
    </row>
    <row r="174" spans="2:11" ht="13" hidden="1" outlineLevel="1" x14ac:dyDescent="0.3">
      <c r="B174"/>
      <c r="F174"/>
      <c r="G174"/>
      <c r="H174"/>
      <c r="I174"/>
      <c r="J174"/>
      <c r="K174"/>
    </row>
    <row r="175" spans="2:11" ht="13" collapsed="1" x14ac:dyDescent="0.3">
      <c r="B175"/>
    </row>
    <row r="176" spans="2:11" ht="13" collapsed="1" x14ac:dyDescent="0.3">
      <c r="B176"/>
      <c r="F176" s="46"/>
    </row>
    <row r="177" spans="2:2" ht="13" x14ac:dyDescent="0.3">
      <c r="B177"/>
    </row>
    <row r="178" spans="2:2" ht="13" x14ac:dyDescent="0.3">
      <c r="B178"/>
    </row>
    <row r="179" spans="2:2" ht="13" x14ac:dyDescent="0.3">
      <c r="B179"/>
    </row>
    <row r="180" spans="2:2" ht="13" x14ac:dyDescent="0.3">
      <c r="B180"/>
    </row>
    <row r="181" spans="2:2" ht="13" x14ac:dyDescent="0.3">
      <c r="B181"/>
    </row>
    <row r="182" spans="2:2" ht="13" x14ac:dyDescent="0.3">
      <c r="B182"/>
    </row>
    <row r="183" spans="2:2" ht="13" x14ac:dyDescent="0.3">
      <c r="B183"/>
    </row>
    <row r="184" spans="2:2" ht="13" x14ac:dyDescent="0.3">
      <c r="B184"/>
    </row>
    <row r="185" spans="2:2" ht="13" x14ac:dyDescent="0.3">
      <c r="B185"/>
    </row>
    <row r="186" spans="2:2" ht="13" x14ac:dyDescent="0.3">
      <c r="B186"/>
    </row>
    <row r="187" spans="2:2" ht="13" x14ac:dyDescent="0.3">
      <c r="B187"/>
    </row>
    <row r="188" spans="2:2" ht="13" x14ac:dyDescent="0.3">
      <c r="B188"/>
    </row>
    <row r="189" spans="2:2" ht="13" x14ac:dyDescent="0.3">
      <c r="B189"/>
    </row>
    <row r="190" spans="2:2" ht="13" x14ac:dyDescent="0.3">
      <c r="B190"/>
    </row>
    <row r="191" spans="2:2" ht="13" x14ac:dyDescent="0.3">
      <c r="B191"/>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Navigate_Send_To_Answer_1">
                <anchor moveWithCells="1" sizeWithCells="1">
                  <from>
                    <xdr:col>9</xdr:col>
                    <xdr:colOff>374650</xdr:colOff>
                    <xdr:row>8</xdr:row>
                    <xdr:rowOff>114300</xdr:rowOff>
                  </from>
                  <to>
                    <xdr:col>11</xdr:col>
                    <xdr:colOff>374650</xdr:colOff>
                    <xdr:row>11</xdr:row>
                    <xdr:rowOff>12700</xdr:rowOff>
                  </to>
                </anchor>
              </controlPr>
            </control>
          </mc:Choice>
        </mc:AlternateContent>
        <mc:AlternateContent xmlns:mc="http://schemas.openxmlformats.org/markup-compatibility/2006">
          <mc:Choice Requires="x14">
            <control shapeId="4098" r:id="rId5" name="Button 2">
              <controlPr defaultSize="0" print="0" autoFill="0" autoPict="0" macro="[0]!ThisWorkbook.Navigate_Send_To_Answer_2">
                <anchor moveWithCells="1" sizeWithCells="1">
                  <from>
                    <xdr:col>9</xdr:col>
                    <xdr:colOff>355600</xdr:colOff>
                    <xdr:row>107</xdr:row>
                    <xdr:rowOff>146050</xdr:rowOff>
                  </from>
                  <to>
                    <xdr:col>11</xdr:col>
                    <xdr:colOff>374650</xdr:colOff>
                    <xdr:row>111</xdr:row>
                    <xdr:rowOff>12700</xdr:rowOff>
                  </to>
                </anchor>
              </controlPr>
            </control>
          </mc:Choice>
        </mc:AlternateContent>
        <mc:AlternateContent xmlns:mc="http://schemas.openxmlformats.org/markup-compatibility/2006">
          <mc:Choice Requires="x14">
            <control shapeId="4099" r:id="rId6" name="Button 3">
              <controlPr defaultSize="0" print="0" autoFill="0" autoPict="0" macro="[0]!ThisWorkbook.Navigate_Send_To_Answer_3">
                <anchor moveWithCells="1" sizeWithCells="1">
                  <from>
                    <xdr:col>9</xdr:col>
                    <xdr:colOff>488950</xdr:colOff>
                    <xdr:row>119</xdr:row>
                    <xdr:rowOff>76200</xdr:rowOff>
                  </from>
                  <to>
                    <xdr:col>11</xdr:col>
                    <xdr:colOff>488950</xdr:colOff>
                    <xdr:row>122</xdr:row>
                    <xdr:rowOff>107950</xdr:rowOff>
                  </to>
                </anchor>
              </controlPr>
            </control>
          </mc:Choice>
        </mc:AlternateContent>
        <mc:AlternateContent xmlns:mc="http://schemas.openxmlformats.org/markup-compatibility/2006">
          <mc:Choice Requires="x14">
            <control shapeId="4100" r:id="rId7" name="Button 4">
              <controlPr defaultSize="0" print="0" autoFill="0" autoPict="0" macro="[0]!ThisWorkbook.Navigate_Send_To_Answer_4">
                <anchor moveWithCells="1" sizeWithCells="1">
                  <from>
                    <xdr:col>12</xdr:col>
                    <xdr:colOff>450850</xdr:colOff>
                    <xdr:row>128</xdr:row>
                    <xdr:rowOff>50800</xdr:rowOff>
                  </from>
                  <to>
                    <xdr:col>16</xdr:col>
                    <xdr:colOff>38100</xdr:colOff>
                    <xdr:row>131</xdr:row>
                    <xdr:rowOff>88900</xdr:rowOff>
                  </to>
                </anchor>
              </controlPr>
            </control>
          </mc:Choice>
        </mc:AlternateContent>
        <mc:AlternateContent xmlns:mc="http://schemas.openxmlformats.org/markup-compatibility/2006">
          <mc:Choice Requires="x14">
            <control shapeId="4101" r:id="rId8" name="Button 5">
              <controlPr defaultSize="0" print="0" autoFill="0" autoPict="0" macro="[0]!ThisWorkbook.Navigate_Send_To_Answer_5">
                <anchor moveWithCells="1" sizeWithCells="1">
                  <from>
                    <xdr:col>12</xdr:col>
                    <xdr:colOff>342900</xdr:colOff>
                    <xdr:row>139</xdr:row>
                    <xdr:rowOff>127000</xdr:rowOff>
                  </from>
                  <to>
                    <xdr:col>15</xdr:col>
                    <xdr:colOff>488950</xdr:colOff>
                    <xdr:row>142</xdr:row>
                    <xdr:rowOff>152400</xdr:rowOff>
                  </to>
                </anchor>
              </controlPr>
            </control>
          </mc:Choice>
        </mc:AlternateContent>
        <mc:AlternateContent xmlns:mc="http://schemas.openxmlformats.org/markup-compatibility/2006">
          <mc:Choice Requires="x14">
            <control shapeId="4102" r:id="rId9" name="Button 6">
              <controlPr defaultSize="0" print="0" autoFill="0" autoPict="0" macro="[0]!ThisWorkbook.Navigate_Send_To_Answer_6">
                <anchor moveWithCells="1" sizeWithCells="1">
                  <from>
                    <xdr:col>12</xdr:col>
                    <xdr:colOff>298450</xdr:colOff>
                    <xdr:row>147</xdr:row>
                    <xdr:rowOff>12700</xdr:rowOff>
                  </from>
                  <to>
                    <xdr:col>15</xdr:col>
                    <xdr:colOff>431800</xdr:colOff>
                    <xdr:row>150</xdr:row>
                    <xdr:rowOff>50800</xdr:rowOff>
                  </to>
                </anchor>
              </controlPr>
            </control>
          </mc:Choice>
        </mc:AlternateContent>
        <mc:AlternateContent xmlns:mc="http://schemas.openxmlformats.org/markup-compatibility/2006">
          <mc:Choice Requires="x14">
            <control shapeId="4103" r:id="rId10" name="Button 7">
              <controlPr defaultSize="0" print="0" autoFill="0" autoPict="0" macro="[0]!ThisWorkbook.Navigate_Send_To_Answer_7">
                <anchor moveWithCells="1" sizeWithCells="1">
                  <from>
                    <xdr:col>15</xdr:col>
                    <xdr:colOff>412750</xdr:colOff>
                    <xdr:row>154</xdr:row>
                    <xdr:rowOff>152400</xdr:rowOff>
                  </from>
                  <to>
                    <xdr:col>19</xdr:col>
                    <xdr:colOff>0</xdr:colOff>
                    <xdr:row>158</xdr:row>
                    <xdr:rowOff>31750</xdr:rowOff>
                  </to>
                </anchor>
              </controlPr>
            </control>
          </mc:Choice>
        </mc:AlternateContent>
        <mc:AlternateContent xmlns:mc="http://schemas.openxmlformats.org/markup-compatibility/2006">
          <mc:Choice Requires="x14">
            <control shapeId="4104" r:id="rId11" name="Button 8">
              <controlPr defaultSize="0" print="0" autoFill="0" autoPict="0" macro="[0]!ThisWorkbook.Navigate_Send_To_Answer_8">
                <anchor moveWithCells="1" sizeWithCells="1">
                  <from>
                    <xdr:col>20</xdr:col>
                    <xdr:colOff>266700</xdr:colOff>
                    <xdr:row>164</xdr:row>
                    <xdr:rowOff>184150</xdr:rowOff>
                  </from>
                  <to>
                    <xdr:col>23</xdr:col>
                    <xdr:colOff>412750</xdr:colOff>
                    <xdr:row>167</xdr:row>
                    <xdr:rowOff>146050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S192"/>
  <sheetViews>
    <sheetView showGridLines="0" topLeftCell="A49" zoomScale="80" workbookViewId="0">
      <selection activeCell="L83" sqref="L83"/>
    </sheetView>
  </sheetViews>
  <sheetFormatPr defaultColWidth="9.33203125" defaultRowHeight="12.5" outlineLevelRow="1" x14ac:dyDescent="0.25"/>
  <cols>
    <col min="1" max="5" width="9.33203125" style="2"/>
    <col min="6" max="6" width="43.33203125" style="2" customWidth="1"/>
    <col min="7" max="7" width="36.33203125" style="2" customWidth="1"/>
    <col min="8" max="8" width="20.77734375" style="2" bestFit="1" customWidth="1"/>
    <col min="9" max="9" width="14.33203125" style="2" bestFit="1" customWidth="1"/>
    <col min="10" max="10" width="15.77734375" style="2" bestFit="1" customWidth="1"/>
    <col min="11" max="11" width="9.33203125" style="2" customWidth="1"/>
    <col min="12" max="12" width="9.33203125" style="2" bestFit="1" customWidth="1"/>
    <col min="13" max="14" width="9.33203125" style="2"/>
    <col min="15" max="15" width="37.33203125" style="2" customWidth="1"/>
    <col min="16" max="16" width="9.33203125" style="2"/>
    <col min="17" max="17" width="18.6640625" style="2" customWidth="1"/>
    <col min="18" max="18" width="20.77734375" style="2" customWidth="1"/>
    <col min="19" max="19" width="20.77734375" style="2" bestFit="1" customWidth="1"/>
    <col min="20" max="16384" width="9.33203125" style="2"/>
  </cols>
  <sheetData>
    <row r="1" spans="1:18" ht="13" x14ac:dyDescent="0.3">
      <c r="A1" s="3" t="str">
        <f>Introduction!A1</f>
        <v>Problem Solving with Excel</v>
      </c>
    </row>
    <row r="2" spans="1:18" ht="13" x14ac:dyDescent="0.3">
      <c r="A2" s="3" t="str">
        <f>Introduction!A2</f>
        <v>Week 3</v>
      </c>
    </row>
    <row r="3" spans="1:18" ht="13" x14ac:dyDescent="0.3">
      <c r="A3" s="3" t="str">
        <f>Introduction!A3</f>
        <v>Pivot Tables</v>
      </c>
    </row>
    <row r="4" spans="1:18" ht="13" x14ac:dyDescent="0.3">
      <c r="A4" s="3" t="str">
        <f ca="1">MID(CELL("Filename",I7),SEARCH("]",CELL("Filename",I7),1)+1,100)</f>
        <v>Section 2 - Navigating (ANS)</v>
      </c>
    </row>
    <row r="5" spans="1:18" x14ac:dyDescent="0.25">
      <c r="P5" s="6"/>
    </row>
    <row r="6" spans="1:18" ht="13" x14ac:dyDescent="0.3">
      <c r="Q6"/>
      <c r="R6"/>
    </row>
    <row r="7" spans="1:18" ht="18.5" x14ac:dyDescent="0.45">
      <c r="B7" s="5" t="s">
        <v>263</v>
      </c>
      <c r="J7" s="70"/>
    </row>
    <row r="8" spans="1:18" ht="13" outlineLevel="1" x14ac:dyDescent="0.3">
      <c r="F8" s="46" t="s">
        <v>266</v>
      </c>
      <c r="G8"/>
      <c r="J8" s="70"/>
      <c r="K8"/>
      <c r="L8"/>
      <c r="M8"/>
    </row>
    <row r="9" spans="1:18" ht="13" outlineLevel="1" x14ac:dyDescent="0.3">
      <c r="F9"/>
      <c r="G9"/>
      <c r="H9"/>
      <c r="I9"/>
      <c r="J9" s="70"/>
      <c r="K9"/>
      <c r="L9"/>
      <c r="M9"/>
    </row>
    <row r="10" spans="1:18" ht="13" outlineLevel="1" x14ac:dyDescent="0.3">
      <c r="F10" s="50" t="s">
        <v>233</v>
      </c>
      <c r="G10" t="s">
        <v>234</v>
      </c>
      <c r="H10"/>
      <c r="I10"/>
      <c r="J10" s="70"/>
      <c r="K10"/>
      <c r="L10"/>
      <c r="M10"/>
    </row>
    <row r="11" spans="1:18" ht="13" outlineLevel="1" x14ac:dyDescent="0.3">
      <c r="F11" s="51" t="s">
        <v>17</v>
      </c>
      <c r="G11" s="53">
        <v>3016</v>
      </c>
      <c r="H11"/>
      <c r="I11"/>
      <c r="J11" s="70"/>
      <c r="K11"/>
      <c r="L11"/>
      <c r="M11"/>
    </row>
    <row r="12" spans="1:18" ht="13" outlineLevel="1" x14ac:dyDescent="0.3">
      <c r="F12"/>
      <c r="G12"/>
      <c r="H12"/>
      <c r="I12"/>
      <c r="J12" s="70"/>
      <c r="K12"/>
      <c r="L12"/>
      <c r="M12"/>
    </row>
    <row r="13" spans="1:18" ht="13" outlineLevel="1" x14ac:dyDescent="0.3">
      <c r="F13"/>
      <c r="G13"/>
      <c r="H13"/>
      <c r="I13"/>
      <c r="J13"/>
      <c r="K13"/>
      <c r="L13"/>
      <c r="M13"/>
    </row>
    <row r="14" spans="1:18" ht="13" outlineLevel="1" x14ac:dyDescent="0.3">
      <c r="F14"/>
      <c r="G14"/>
      <c r="H14"/>
      <c r="I14"/>
      <c r="J14"/>
      <c r="K14"/>
      <c r="L14"/>
      <c r="M14"/>
    </row>
    <row r="15" spans="1:18" ht="13" outlineLevel="1" x14ac:dyDescent="0.3">
      <c r="F15"/>
      <c r="G15"/>
      <c r="H15"/>
      <c r="I15"/>
      <c r="J15"/>
      <c r="K15"/>
      <c r="L15"/>
      <c r="M15"/>
      <c r="Q15"/>
      <c r="R15"/>
    </row>
    <row r="16" spans="1:18" ht="18.5" x14ac:dyDescent="0.45">
      <c r="B16" s="5" t="s">
        <v>262</v>
      </c>
      <c r="F16"/>
      <c r="G16"/>
      <c r="H16"/>
      <c r="I16"/>
      <c r="J16"/>
      <c r="K16"/>
      <c r="L16"/>
      <c r="M16"/>
      <c r="Q16"/>
      <c r="R16"/>
    </row>
    <row r="17" spans="2:18" ht="13" outlineLevel="1" x14ac:dyDescent="0.3">
      <c r="F17" s="46" t="s">
        <v>279</v>
      </c>
      <c r="G17"/>
      <c r="H17"/>
      <c r="I17"/>
      <c r="J17"/>
      <c r="K17"/>
      <c r="L17"/>
      <c r="M17"/>
      <c r="Q17"/>
      <c r="R17"/>
    </row>
    <row r="18" spans="2:18" ht="13" outlineLevel="1" x14ac:dyDescent="0.3">
      <c r="F18" s="50" t="s">
        <v>233</v>
      </c>
      <c r="G18" t="s">
        <v>234</v>
      </c>
      <c r="H18"/>
      <c r="I18"/>
      <c r="J18"/>
      <c r="K18"/>
      <c r="L18"/>
      <c r="M18"/>
      <c r="Q18"/>
      <c r="R18"/>
    </row>
    <row r="19" spans="2:18" ht="13" outlineLevel="1" x14ac:dyDescent="0.3">
      <c r="F19" s="51" t="s">
        <v>17</v>
      </c>
      <c r="G19" s="53">
        <v>3016</v>
      </c>
      <c r="H19"/>
      <c r="I19"/>
      <c r="J19"/>
      <c r="K19"/>
      <c r="L19"/>
      <c r="M19"/>
      <c r="Q19"/>
      <c r="R19"/>
    </row>
    <row r="20" spans="2:18" ht="13" outlineLevel="1" x14ac:dyDescent="0.3">
      <c r="F20" s="51" t="s">
        <v>21</v>
      </c>
      <c r="G20" s="53">
        <v>2856.5</v>
      </c>
      <c r="K20"/>
      <c r="L20"/>
      <c r="M20"/>
      <c r="Q20"/>
      <c r="R20"/>
    </row>
    <row r="21" spans="2:18" ht="13" outlineLevel="1" x14ac:dyDescent="0.3">
      <c r="F21" s="51" t="s">
        <v>27</v>
      </c>
      <c r="G21" s="53">
        <v>2845.59</v>
      </c>
      <c r="K21"/>
      <c r="L21"/>
      <c r="M21"/>
      <c r="Q21"/>
      <c r="R21"/>
    </row>
    <row r="22" spans="2:18" ht="13" outlineLevel="1" x14ac:dyDescent="0.3">
      <c r="F22" s="51" t="s">
        <v>35</v>
      </c>
      <c r="G22" s="53">
        <v>2628.2699999999995</v>
      </c>
      <c r="K22"/>
      <c r="L22"/>
      <c r="M22"/>
      <c r="Q22"/>
      <c r="R22"/>
    </row>
    <row r="23" spans="2:18" ht="13" outlineLevel="1" x14ac:dyDescent="0.3">
      <c r="F23" s="51" t="s">
        <v>24</v>
      </c>
      <c r="G23" s="53">
        <v>2552</v>
      </c>
      <c r="K23"/>
      <c r="L23"/>
      <c r="M23"/>
      <c r="Q23"/>
      <c r="R23"/>
    </row>
    <row r="24" spans="2:18" ht="13" outlineLevel="1" x14ac:dyDescent="0.3">
      <c r="K24"/>
      <c r="L24"/>
      <c r="M24"/>
      <c r="Q24"/>
      <c r="R24"/>
    </row>
    <row r="25" spans="2:18" ht="13" outlineLevel="1" x14ac:dyDescent="0.3">
      <c r="I25"/>
      <c r="K25"/>
      <c r="L25"/>
      <c r="M25"/>
    </row>
    <row r="26" spans="2:18" ht="13" outlineLevel="1" x14ac:dyDescent="0.3">
      <c r="I26"/>
    </row>
    <row r="27" spans="2:18" ht="18.5" x14ac:dyDescent="0.45">
      <c r="B27" s="5" t="s">
        <v>267</v>
      </c>
      <c r="I27"/>
    </row>
    <row r="28" spans="2:18" ht="13" outlineLevel="1" x14ac:dyDescent="0.3">
      <c r="F28" s="46" t="s">
        <v>268</v>
      </c>
      <c r="G28"/>
      <c r="I28"/>
      <c r="J28"/>
      <c r="K28"/>
    </row>
    <row r="29" spans="2:18" ht="13" outlineLevel="1" x14ac:dyDescent="0.3">
      <c r="F29" s="50" t="s">
        <v>8</v>
      </c>
      <c r="G29" t="s">
        <v>80</v>
      </c>
      <c r="I29"/>
      <c r="J29" s="51"/>
      <c r="K29" s="53"/>
    </row>
    <row r="30" spans="2:18" ht="13" outlineLevel="1" x14ac:dyDescent="0.3">
      <c r="F30"/>
      <c r="G30"/>
      <c r="I30"/>
    </row>
    <row r="31" spans="2:18" ht="13" outlineLevel="1" x14ac:dyDescent="0.3">
      <c r="F31" s="50" t="s">
        <v>233</v>
      </c>
      <c r="G31" t="s">
        <v>234</v>
      </c>
      <c r="I31"/>
      <c r="Q31"/>
      <c r="R31"/>
    </row>
    <row r="32" spans="2:18" ht="13" outlineLevel="1" x14ac:dyDescent="0.3">
      <c r="F32" s="51" t="s">
        <v>157</v>
      </c>
      <c r="G32" s="56">
        <v>474.5</v>
      </c>
      <c r="I32"/>
      <c r="Q32"/>
      <c r="R32"/>
    </row>
    <row r="33" spans="2:18" ht="13" outlineLevel="1" x14ac:dyDescent="0.3">
      <c r="F33" s="51" t="s">
        <v>106</v>
      </c>
      <c r="G33" s="56">
        <v>682.5</v>
      </c>
      <c r="I33"/>
      <c r="Q33"/>
      <c r="R33"/>
    </row>
    <row r="34" spans="2:18" ht="13" outlineLevel="1" x14ac:dyDescent="0.3">
      <c r="F34" s="51" t="s">
        <v>79</v>
      </c>
      <c r="G34" s="56">
        <v>949.05000000000007</v>
      </c>
      <c r="I34"/>
      <c r="Q34"/>
      <c r="R34"/>
    </row>
    <row r="35" spans="2:18" ht="13" outlineLevel="1" x14ac:dyDescent="0.3">
      <c r="I35"/>
      <c r="Q35"/>
      <c r="R35"/>
    </row>
    <row r="36" spans="2:18" ht="18.5" x14ac:dyDescent="0.45">
      <c r="B36" s="5" t="s">
        <v>269</v>
      </c>
      <c r="H36"/>
      <c r="I36"/>
      <c r="Q36"/>
      <c r="R36"/>
    </row>
    <row r="37" spans="2:18" ht="13" outlineLevel="1" x14ac:dyDescent="0.3">
      <c r="H37"/>
      <c r="I37"/>
      <c r="Q37"/>
      <c r="R37"/>
    </row>
    <row r="38" spans="2:18" ht="13" outlineLevel="1" x14ac:dyDescent="0.3">
      <c r="B38"/>
      <c r="C38"/>
      <c r="D38"/>
      <c r="E38"/>
      <c r="F38" s="46" t="s">
        <v>270</v>
      </c>
      <c r="G38"/>
      <c r="H38"/>
      <c r="I38"/>
      <c r="Q38"/>
      <c r="R38"/>
    </row>
    <row r="39" spans="2:18" ht="13" outlineLevel="1" x14ac:dyDescent="0.3">
      <c r="B39"/>
      <c r="C39"/>
      <c r="D39"/>
      <c r="E39"/>
      <c r="F39" s="50" t="s">
        <v>10</v>
      </c>
      <c r="G39" t="s">
        <v>236</v>
      </c>
      <c r="H39"/>
      <c r="Q39"/>
      <c r="R39"/>
    </row>
    <row r="40" spans="2:18" ht="13" outlineLevel="1" x14ac:dyDescent="0.3">
      <c r="B40"/>
      <c r="C40"/>
      <c r="D40"/>
      <c r="E40"/>
      <c r="F40"/>
      <c r="G40"/>
      <c r="H40"/>
      <c r="Q40"/>
      <c r="R40"/>
    </row>
    <row r="41" spans="2:18" ht="13" outlineLevel="1" x14ac:dyDescent="0.3">
      <c r="B41"/>
      <c r="C41"/>
      <c r="D41"/>
      <c r="E41"/>
      <c r="F41" s="50" t="s">
        <v>233</v>
      </c>
      <c r="G41" t="s">
        <v>246</v>
      </c>
      <c r="H41"/>
      <c r="Q41"/>
      <c r="R41"/>
    </row>
    <row r="42" spans="2:18" ht="13" outlineLevel="1" x14ac:dyDescent="0.3">
      <c r="B42"/>
      <c r="C42"/>
      <c r="D42"/>
      <c r="E42"/>
      <c r="F42" s="51" t="s">
        <v>69</v>
      </c>
      <c r="G42" s="54">
        <v>176</v>
      </c>
      <c r="H42"/>
      <c r="Q42"/>
      <c r="R42"/>
    </row>
    <row r="43" spans="2:18" ht="13" outlineLevel="1" x14ac:dyDescent="0.3">
      <c r="H43"/>
      <c r="Q43"/>
      <c r="R43"/>
    </row>
    <row r="44" spans="2:18" ht="13" outlineLevel="1" x14ac:dyDescent="0.3">
      <c r="H44"/>
      <c r="Q44"/>
      <c r="R44"/>
    </row>
    <row r="45" spans="2:18" ht="13" outlineLevel="1" x14ac:dyDescent="0.3">
      <c r="H45"/>
      <c r="Q45"/>
      <c r="R45"/>
    </row>
    <row r="46" spans="2:18" ht="13" outlineLevel="1" x14ac:dyDescent="0.3">
      <c r="F46"/>
      <c r="G46"/>
      <c r="H46"/>
      <c r="Q46"/>
      <c r="R46"/>
    </row>
    <row r="47" spans="2:18" ht="18.5" x14ac:dyDescent="0.45">
      <c r="B47" s="5" t="s">
        <v>271</v>
      </c>
      <c r="H47"/>
      <c r="I47"/>
      <c r="Q47"/>
      <c r="R47"/>
    </row>
    <row r="48" spans="2:18" ht="13" outlineLevel="1" x14ac:dyDescent="0.3">
      <c r="F48" s="46" t="s">
        <v>272</v>
      </c>
      <c r="H48"/>
      <c r="I48"/>
      <c r="Q48"/>
      <c r="R48"/>
    </row>
    <row r="49" spans="2:19" ht="13" outlineLevel="1" x14ac:dyDescent="0.3">
      <c r="F49" s="50" t="s">
        <v>233</v>
      </c>
      <c r="G49" t="s">
        <v>246</v>
      </c>
      <c r="H49"/>
      <c r="I49"/>
      <c r="S49"/>
    </row>
    <row r="50" spans="2:19" ht="13" outlineLevel="1" x14ac:dyDescent="0.3">
      <c r="F50" s="51" t="s">
        <v>237</v>
      </c>
      <c r="G50" s="54">
        <v>1765</v>
      </c>
      <c r="I50"/>
      <c r="S50"/>
    </row>
    <row r="51" spans="2:19" ht="13" outlineLevel="1" x14ac:dyDescent="0.3">
      <c r="F51" s="51" t="s">
        <v>245</v>
      </c>
      <c r="G51" s="54">
        <v>1444</v>
      </c>
      <c r="I51"/>
      <c r="S51"/>
    </row>
    <row r="52" spans="2:19" ht="13" outlineLevel="1" x14ac:dyDescent="0.3">
      <c r="F52" s="51" t="s">
        <v>240</v>
      </c>
      <c r="G52" s="54">
        <v>1357</v>
      </c>
      <c r="I52"/>
      <c r="S52"/>
    </row>
    <row r="53" spans="2:19" ht="13" outlineLevel="1" x14ac:dyDescent="0.3">
      <c r="F53" s="51" t="s">
        <v>239</v>
      </c>
      <c r="G53" s="54">
        <v>1246</v>
      </c>
      <c r="I53"/>
      <c r="S53"/>
    </row>
    <row r="54" spans="2:19" ht="13" outlineLevel="1" x14ac:dyDescent="0.3">
      <c r="I54"/>
      <c r="Q54"/>
      <c r="R54"/>
      <c r="S54"/>
    </row>
    <row r="55" spans="2:19" ht="18.5" x14ac:dyDescent="0.45">
      <c r="B55" s="5" t="s">
        <v>273</v>
      </c>
      <c r="I55"/>
      <c r="Q55"/>
      <c r="R55"/>
      <c r="S55"/>
    </row>
    <row r="56" spans="2:19" ht="13" outlineLevel="1" x14ac:dyDescent="0.3">
      <c r="F56" s="46" t="s">
        <v>274</v>
      </c>
      <c r="I56"/>
      <c r="Q56"/>
      <c r="R56"/>
      <c r="S56"/>
    </row>
    <row r="57" spans="2:19" ht="13" outlineLevel="1" x14ac:dyDescent="0.3">
      <c r="F57" s="50" t="s">
        <v>11</v>
      </c>
      <c r="G57" t="s">
        <v>19</v>
      </c>
      <c r="I57"/>
      <c r="Q57"/>
      <c r="R57"/>
      <c r="S57"/>
    </row>
    <row r="58" spans="2:19" ht="13" outlineLevel="1" x14ac:dyDescent="0.3">
      <c r="F58"/>
      <c r="G58"/>
      <c r="H58"/>
      <c r="I58"/>
      <c r="Q58"/>
      <c r="R58"/>
      <c r="S58"/>
    </row>
    <row r="59" spans="2:19" ht="13" outlineLevel="1" x14ac:dyDescent="0.3">
      <c r="F59" s="50" t="s">
        <v>233</v>
      </c>
      <c r="G59" t="s">
        <v>234</v>
      </c>
      <c r="H59"/>
      <c r="I59"/>
      <c r="Q59"/>
      <c r="R59"/>
      <c r="S59"/>
    </row>
    <row r="60" spans="2:19" ht="13" outlineLevel="1" x14ac:dyDescent="0.3">
      <c r="F60" s="51" t="s">
        <v>17</v>
      </c>
      <c r="G60" s="53">
        <v>3016</v>
      </c>
      <c r="H60"/>
      <c r="Q60"/>
      <c r="R60"/>
      <c r="S60"/>
    </row>
    <row r="61" spans="2:19" ht="13" outlineLevel="1" x14ac:dyDescent="0.3">
      <c r="H61"/>
      <c r="Q61"/>
      <c r="R61"/>
    </row>
    <row r="62" spans="2:19" ht="18.5" x14ac:dyDescent="0.45">
      <c r="B62" s="5" t="s">
        <v>275</v>
      </c>
      <c r="Q62"/>
      <c r="R62"/>
    </row>
    <row r="63" spans="2:19" ht="13" outlineLevel="1" x14ac:dyDescent="0.3">
      <c r="Q63"/>
      <c r="R63"/>
    </row>
    <row r="64" spans="2:19" ht="13" outlineLevel="1" x14ac:dyDescent="0.3">
      <c r="F64" s="46" t="s">
        <v>277</v>
      </c>
      <c r="Q64"/>
      <c r="R64"/>
    </row>
    <row r="65" spans="2:18" ht="13" outlineLevel="1" x14ac:dyDescent="0.3">
      <c r="B65" s="71"/>
      <c r="Q65"/>
      <c r="R65"/>
    </row>
    <row r="66" spans="2:18" ht="13" outlineLevel="1" x14ac:dyDescent="0.3">
      <c r="B66"/>
      <c r="C66"/>
      <c r="D66"/>
      <c r="E66"/>
      <c r="F66" s="50" t="s">
        <v>10</v>
      </c>
      <c r="G66" t="s">
        <v>245</v>
      </c>
      <c r="H66"/>
      <c r="I66"/>
      <c r="Q66"/>
      <c r="R66"/>
    </row>
    <row r="67" spans="2:18" ht="13" outlineLevel="1" x14ac:dyDescent="0.3">
      <c r="B67"/>
      <c r="C67"/>
      <c r="D67"/>
      <c r="E67"/>
      <c r="F67"/>
      <c r="G67"/>
      <c r="I67"/>
      <c r="Q67"/>
      <c r="R67"/>
    </row>
    <row r="68" spans="2:18" ht="13" outlineLevel="1" x14ac:dyDescent="0.3">
      <c r="B68"/>
      <c r="C68"/>
      <c r="D68"/>
      <c r="E68"/>
      <c r="F68" s="50" t="s">
        <v>233</v>
      </c>
      <c r="G68" s="50" t="s">
        <v>257</v>
      </c>
      <c r="H68" t="s">
        <v>234</v>
      </c>
      <c r="I68"/>
      <c r="Q68"/>
      <c r="R68"/>
    </row>
    <row r="69" spans="2:18" ht="13" outlineLevel="1" x14ac:dyDescent="0.3">
      <c r="B69"/>
      <c r="C69"/>
      <c r="D69"/>
      <c r="E69"/>
      <c r="F69" s="51" t="s">
        <v>22</v>
      </c>
      <c r="G69" s="73">
        <v>2</v>
      </c>
      <c r="H69" s="53">
        <v>5292.5</v>
      </c>
      <c r="I69"/>
      <c r="Q69"/>
      <c r="R69"/>
    </row>
    <row r="70" spans="2:18" ht="13" outlineLevel="1" x14ac:dyDescent="0.3">
      <c r="C70"/>
      <c r="D70"/>
      <c r="E70"/>
      <c r="F70" s="51" t="s">
        <v>19</v>
      </c>
      <c r="G70" s="73">
        <v>4</v>
      </c>
      <c r="H70" s="53">
        <v>8410</v>
      </c>
      <c r="I70"/>
      <c r="Q70"/>
      <c r="R70"/>
    </row>
    <row r="71" spans="2:18" ht="18.5" outlineLevel="1" x14ac:dyDescent="0.45">
      <c r="B71" s="5"/>
      <c r="C71"/>
      <c r="D71"/>
      <c r="E71"/>
      <c r="F71" s="51" t="s">
        <v>25</v>
      </c>
      <c r="G71" s="73">
        <v>5</v>
      </c>
      <c r="H71" s="53">
        <v>7235.5</v>
      </c>
      <c r="I71"/>
      <c r="Q71"/>
      <c r="R71"/>
    </row>
    <row r="72" spans="2:18" ht="13" outlineLevel="1" x14ac:dyDescent="0.3">
      <c r="C72"/>
      <c r="D72"/>
      <c r="E72"/>
      <c r="F72"/>
      <c r="G72"/>
      <c r="H72"/>
      <c r="I72"/>
      <c r="J72"/>
      <c r="K72"/>
      <c r="L72"/>
      <c r="M72"/>
      <c r="N72"/>
      <c r="Q72"/>
      <c r="R72"/>
    </row>
    <row r="73" spans="2:18" ht="18.5" x14ac:dyDescent="0.45">
      <c r="B73" s="5" t="s">
        <v>276</v>
      </c>
      <c r="C73"/>
      <c r="D73"/>
      <c r="E73"/>
      <c r="F73"/>
      <c r="G73"/>
      <c r="H73"/>
      <c r="I73"/>
      <c r="J73"/>
      <c r="K73"/>
      <c r="L73"/>
      <c r="M73"/>
      <c r="N73"/>
      <c r="Q73"/>
      <c r="R73"/>
    </row>
    <row r="74" spans="2:18" ht="13" outlineLevel="1" x14ac:dyDescent="0.3">
      <c r="C74"/>
      <c r="D74"/>
      <c r="E74"/>
      <c r="F74"/>
      <c r="G74"/>
      <c r="H74"/>
      <c r="I74"/>
      <c r="J74"/>
      <c r="K74"/>
      <c r="L74"/>
      <c r="M74"/>
      <c r="N74"/>
      <c r="Q74"/>
      <c r="R74"/>
    </row>
    <row r="75" spans="2:18" ht="13" outlineLevel="1" x14ac:dyDescent="0.3">
      <c r="C75"/>
      <c r="D75"/>
      <c r="E75"/>
      <c r="F75" s="46" t="s">
        <v>278</v>
      </c>
      <c r="G75"/>
      <c r="H75"/>
      <c r="I75"/>
      <c r="J75"/>
      <c r="K75"/>
      <c r="L75"/>
      <c r="M75"/>
      <c r="N75"/>
      <c r="Q75"/>
      <c r="R75"/>
    </row>
    <row r="76" spans="2:18" ht="13" outlineLevel="1" x14ac:dyDescent="0.3">
      <c r="B76" s="71"/>
      <c r="C76"/>
      <c r="D76"/>
      <c r="E76"/>
      <c r="F76"/>
      <c r="G76"/>
      <c r="H76"/>
      <c r="I76"/>
      <c r="J76"/>
      <c r="K76"/>
      <c r="L76"/>
      <c r="M76"/>
      <c r="N76"/>
      <c r="Q76"/>
      <c r="R76"/>
    </row>
    <row r="77" spans="2:18" ht="13" outlineLevel="1" x14ac:dyDescent="0.3">
      <c r="C77"/>
      <c r="D77"/>
      <c r="E77"/>
      <c r="F77"/>
      <c r="G77"/>
      <c r="H77"/>
      <c r="I77"/>
      <c r="J77"/>
      <c r="K77"/>
      <c r="L77"/>
      <c r="M77"/>
      <c r="N77"/>
      <c r="Q77"/>
      <c r="R77"/>
    </row>
    <row r="78" spans="2:18" ht="13" outlineLevel="1" x14ac:dyDescent="0.3">
      <c r="C78"/>
      <c r="D78"/>
      <c r="E78"/>
      <c r="F78" s="50" t="s">
        <v>10</v>
      </c>
      <c r="G78" t="s">
        <v>245</v>
      </c>
      <c r="H78"/>
      <c r="I78"/>
      <c r="J78"/>
      <c r="K78"/>
      <c r="L78"/>
      <c r="M78"/>
      <c r="N78"/>
      <c r="Q78"/>
      <c r="R78"/>
    </row>
    <row r="79" spans="2:18" ht="13" outlineLevel="1" x14ac:dyDescent="0.3">
      <c r="C79"/>
      <c r="D79"/>
      <c r="E79"/>
      <c r="F79" s="50" t="s">
        <v>14</v>
      </c>
      <c r="G79" t="s">
        <v>258</v>
      </c>
      <c r="H79"/>
      <c r="I79"/>
      <c r="J79"/>
      <c r="K79"/>
      <c r="L79"/>
      <c r="M79"/>
      <c r="N79"/>
      <c r="Q79"/>
      <c r="R79"/>
    </row>
    <row r="80" spans="2:18" ht="13" outlineLevel="1" x14ac:dyDescent="0.3">
      <c r="B80"/>
      <c r="F80"/>
      <c r="G80"/>
      <c r="J80"/>
      <c r="K80"/>
      <c r="L80"/>
      <c r="M80"/>
      <c r="N80"/>
      <c r="Q80"/>
      <c r="R80"/>
    </row>
    <row r="81" spans="2:19" ht="13" outlineLevel="1" x14ac:dyDescent="0.3">
      <c r="B81"/>
      <c r="F81" s="50" t="s">
        <v>233</v>
      </c>
      <c r="G81" t="s">
        <v>257</v>
      </c>
      <c r="H81" t="s">
        <v>234</v>
      </c>
      <c r="I81"/>
      <c r="J81"/>
      <c r="K81"/>
      <c r="L81"/>
      <c r="M81"/>
      <c r="N81"/>
      <c r="Q81"/>
      <c r="R81"/>
    </row>
    <row r="82" spans="2:19" ht="13" outlineLevel="1" x14ac:dyDescent="0.3">
      <c r="B82"/>
      <c r="F82" s="51" t="s">
        <v>22</v>
      </c>
      <c r="G82" s="54">
        <v>2</v>
      </c>
      <c r="H82" s="53">
        <v>5292.5</v>
      </c>
      <c r="J82"/>
      <c r="K82"/>
      <c r="L82"/>
      <c r="M82"/>
      <c r="N82"/>
      <c r="Q82"/>
      <c r="R82"/>
    </row>
    <row r="83" spans="2:19" ht="13" outlineLevel="1" x14ac:dyDescent="0.3">
      <c r="B83"/>
      <c r="F83" s="51" t="s">
        <v>19</v>
      </c>
      <c r="G83" s="54">
        <v>3</v>
      </c>
      <c r="H83" s="53">
        <v>7351.5</v>
      </c>
      <c r="J83"/>
      <c r="K83"/>
      <c r="L83"/>
      <c r="M83"/>
      <c r="N83"/>
    </row>
    <row r="84" spans="2:19" ht="13" outlineLevel="1" x14ac:dyDescent="0.3">
      <c r="F84" s="51" t="s">
        <v>25</v>
      </c>
      <c r="G84" s="54">
        <v>3</v>
      </c>
      <c r="H84" s="53">
        <v>6438</v>
      </c>
      <c r="I84"/>
      <c r="J84"/>
      <c r="K84"/>
      <c r="L84"/>
      <c r="M84"/>
      <c r="N84"/>
    </row>
    <row r="85" spans="2:19" ht="13" outlineLevel="1" x14ac:dyDescent="0.3">
      <c r="F85"/>
      <c r="G85"/>
      <c r="H85"/>
      <c r="I85"/>
      <c r="J85"/>
      <c r="K85"/>
      <c r="L85"/>
      <c r="M85"/>
      <c r="N85"/>
      <c r="S85"/>
    </row>
    <row r="86" spans="2:19" ht="13" outlineLevel="1" x14ac:dyDescent="0.3">
      <c r="F86"/>
      <c r="G86"/>
      <c r="H86"/>
      <c r="I86"/>
      <c r="J86"/>
      <c r="K86"/>
      <c r="L86"/>
      <c r="M86"/>
      <c r="N86"/>
      <c r="S86"/>
    </row>
    <row r="87" spans="2:19" ht="13" outlineLevel="1" x14ac:dyDescent="0.3">
      <c r="F87"/>
      <c r="G87"/>
      <c r="H87"/>
      <c r="I87"/>
      <c r="J87"/>
      <c r="K87"/>
      <c r="L87"/>
      <c r="M87"/>
      <c r="N87"/>
      <c r="Q87"/>
      <c r="R87"/>
      <c r="S87"/>
    </row>
    <row r="88" spans="2:19" ht="13" outlineLevel="1" x14ac:dyDescent="0.3">
      <c r="B88"/>
      <c r="C88"/>
      <c r="D88"/>
      <c r="E88"/>
      <c r="F88"/>
      <c r="G88"/>
      <c r="H88"/>
      <c r="I88"/>
      <c r="J88"/>
      <c r="K88"/>
      <c r="L88"/>
      <c r="M88"/>
      <c r="N88"/>
      <c r="Q88"/>
      <c r="R88"/>
      <c r="S88"/>
    </row>
    <row r="89" spans="2:19" ht="13" outlineLevel="1" x14ac:dyDescent="0.3">
      <c r="B89"/>
      <c r="C89"/>
      <c r="D89"/>
      <c r="E89"/>
      <c r="F89"/>
      <c r="G89"/>
      <c r="H89"/>
      <c r="I89"/>
      <c r="J89"/>
      <c r="K89"/>
      <c r="L89"/>
      <c r="M89"/>
      <c r="N89"/>
      <c r="Q89"/>
      <c r="R89"/>
      <c r="S89"/>
    </row>
    <row r="90" spans="2:19" ht="13" outlineLevel="1" x14ac:dyDescent="0.3">
      <c r="B90"/>
      <c r="C90"/>
      <c r="D90"/>
      <c r="E90"/>
      <c r="F90"/>
      <c r="G90"/>
      <c r="H90"/>
      <c r="K90"/>
      <c r="L90"/>
      <c r="M90"/>
      <c r="N90"/>
      <c r="Q90"/>
      <c r="R90"/>
      <c r="S90"/>
    </row>
    <row r="91" spans="2:19" ht="13" outlineLevel="1" x14ac:dyDescent="0.3">
      <c r="B91"/>
      <c r="C91"/>
      <c r="D91"/>
      <c r="E91"/>
      <c r="F91"/>
      <c r="G91"/>
      <c r="H91"/>
      <c r="I91"/>
      <c r="J91"/>
      <c r="K91"/>
      <c r="L91"/>
      <c r="M91"/>
      <c r="N91"/>
      <c r="Q91"/>
      <c r="R91"/>
      <c r="S91"/>
    </row>
    <row r="92" spans="2:19" ht="13" outlineLevel="1" x14ac:dyDescent="0.3">
      <c r="B92"/>
      <c r="C92"/>
      <c r="D92"/>
      <c r="E92"/>
      <c r="F92"/>
      <c r="G92"/>
      <c r="H92"/>
      <c r="K92"/>
      <c r="L92"/>
      <c r="M92"/>
      <c r="N92"/>
      <c r="Q92"/>
      <c r="R92"/>
      <c r="S92"/>
    </row>
    <row r="93" spans="2:19" ht="13" outlineLevel="1" x14ac:dyDescent="0.3">
      <c r="B93"/>
      <c r="C93"/>
      <c r="D93"/>
      <c r="E93"/>
      <c r="F93"/>
      <c r="G93"/>
      <c r="H93"/>
      <c r="K93"/>
      <c r="L93"/>
      <c r="M93"/>
      <c r="N93"/>
      <c r="Q93"/>
      <c r="R93"/>
      <c r="S93"/>
    </row>
    <row r="94" spans="2:19" ht="13" outlineLevel="1" x14ac:dyDescent="0.3">
      <c r="B94"/>
      <c r="C94"/>
      <c r="D94"/>
      <c r="E94"/>
      <c r="F94"/>
      <c r="G94"/>
      <c r="H94"/>
      <c r="I94"/>
      <c r="J94"/>
      <c r="K94"/>
      <c r="L94"/>
      <c r="M94"/>
      <c r="N94"/>
      <c r="Q94"/>
      <c r="R94"/>
      <c r="S94"/>
    </row>
    <row r="95" spans="2:19" ht="13" outlineLevel="1" x14ac:dyDescent="0.3">
      <c r="B95"/>
      <c r="C95"/>
      <c r="D95"/>
      <c r="E95"/>
      <c r="F95"/>
      <c r="G95"/>
      <c r="H95"/>
      <c r="I95"/>
      <c r="J95"/>
      <c r="K95"/>
      <c r="L95"/>
      <c r="M95"/>
      <c r="N95"/>
      <c r="Q95"/>
      <c r="R95"/>
      <c r="S95"/>
    </row>
    <row r="96" spans="2:19" ht="13" x14ac:dyDescent="0.3">
      <c r="B96"/>
      <c r="C96"/>
      <c r="D96"/>
      <c r="E96"/>
      <c r="H96"/>
      <c r="I96"/>
      <c r="J96"/>
      <c r="K96"/>
      <c r="L96"/>
      <c r="M96"/>
      <c r="N96"/>
      <c r="Q96"/>
      <c r="R96"/>
      <c r="S96"/>
    </row>
    <row r="97" spans="2:19" ht="13" x14ac:dyDescent="0.3">
      <c r="B97"/>
      <c r="C97"/>
      <c r="D97"/>
      <c r="E97"/>
      <c r="H97"/>
      <c r="I97"/>
      <c r="J97"/>
      <c r="K97"/>
      <c r="L97"/>
      <c r="M97"/>
      <c r="N97"/>
      <c r="Q97"/>
      <c r="R97"/>
      <c r="S97"/>
    </row>
    <row r="98" spans="2:19" ht="13" x14ac:dyDescent="0.3">
      <c r="B98"/>
      <c r="C98"/>
      <c r="D98"/>
      <c r="E98"/>
      <c r="H98"/>
      <c r="I98"/>
      <c r="J98"/>
      <c r="K98"/>
      <c r="L98"/>
      <c r="M98"/>
      <c r="N98"/>
      <c r="Q98"/>
      <c r="R98"/>
      <c r="S98"/>
    </row>
    <row r="99" spans="2:19" ht="13" x14ac:dyDescent="0.3">
      <c r="B99"/>
      <c r="C99"/>
      <c r="D99"/>
      <c r="E99"/>
      <c r="H99"/>
      <c r="I99"/>
      <c r="J99"/>
      <c r="K99"/>
      <c r="L99"/>
      <c r="M99"/>
      <c r="N99"/>
      <c r="Q99"/>
      <c r="R99"/>
      <c r="S99"/>
    </row>
    <row r="100" spans="2:19" ht="13" x14ac:dyDescent="0.3">
      <c r="B100"/>
      <c r="C100"/>
      <c r="D100"/>
      <c r="E100"/>
      <c r="H100"/>
      <c r="I100"/>
      <c r="J100"/>
      <c r="K100"/>
      <c r="L100"/>
      <c r="M100"/>
      <c r="N100"/>
      <c r="Q100"/>
      <c r="R100"/>
      <c r="S100"/>
    </row>
    <row r="101" spans="2:19" ht="13" x14ac:dyDescent="0.3">
      <c r="B101"/>
      <c r="I101"/>
      <c r="J101"/>
      <c r="K101"/>
      <c r="L101"/>
      <c r="M101"/>
      <c r="N101"/>
      <c r="Q101"/>
      <c r="R101"/>
      <c r="S101"/>
    </row>
    <row r="102" spans="2:19" ht="13" x14ac:dyDescent="0.3">
      <c r="B102"/>
      <c r="F102"/>
      <c r="G102"/>
      <c r="H102"/>
      <c r="I102"/>
      <c r="J102"/>
      <c r="K102"/>
      <c r="L102"/>
      <c r="M102"/>
      <c r="N102"/>
      <c r="Q102"/>
      <c r="R102"/>
      <c r="S102"/>
    </row>
    <row r="103" spans="2:19" ht="13" x14ac:dyDescent="0.3">
      <c r="B103"/>
      <c r="I103"/>
      <c r="J103"/>
      <c r="K103"/>
      <c r="L103"/>
      <c r="M103"/>
      <c r="N103"/>
      <c r="Q103"/>
      <c r="R103"/>
      <c r="S103"/>
    </row>
    <row r="104" spans="2:19" ht="13" x14ac:dyDescent="0.3">
      <c r="B104"/>
      <c r="I104"/>
      <c r="J104"/>
      <c r="K104"/>
      <c r="L104"/>
      <c r="M104"/>
      <c r="N104"/>
      <c r="Q104"/>
      <c r="R104"/>
      <c r="S104"/>
    </row>
    <row r="105" spans="2:19" ht="13" x14ac:dyDescent="0.3">
      <c r="B105"/>
      <c r="C105"/>
      <c r="D105"/>
      <c r="E105"/>
      <c r="H105"/>
      <c r="I105"/>
      <c r="J105"/>
      <c r="K105"/>
      <c r="L105"/>
      <c r="M105"/>
      <c r="N105"/>
      <c r="Q105"/>
      <c r="R105"/>
      <c r="S105"/>
    </row>
    <row r="106" spans="2:19" ht="13" x14ac:dyDescent="0.3">
      <c r="B106"/>
      <c r="C106"/>
      <c r="D106"/>
      <c r="E106"/>
      <c r="H106"/>
      <c r="I106"/>
      <c r="J106"/>
      <c r="K106"/>
      <c r="L106"/>
      <c r="M106"/>
      <c r="N106"/>
      <c r="Q106"/>
      <c r="R106"/>
      <c r="S106"/>
    </row>
    <row r="107" spans="2:19" ht="13" x14ac:dyDescent="0.3">
      <c r="B107"/>
      <c r="C107"/>
      <c r="D107"/>
      <c r="E107"/>
      <c r="H107"/>
      <c r="I107"/>
      <c r="J107"/>
      <c r="K107"/>
      <c r="L107"/>
      <c r="M107"/>
      <c r="N107"/>
      <c r="Q107"/>
      <c r="R107"/>
      <c r="S107"/>
    </row>
    <row r="108" spans="2:19" ht="13" x14ac:dyDescent="0.3">
      <c r="B108"/>
      <c r="C108"/>
      <c r="D108"/>
      <c r="E108"/>
      <c r="H108"/>
      <c r="I108"/>
      <c r="J108"/>
      <c r="K108"/>
      <c r="L108"/>
      <c r="M108"/>
      <c r="N108"/>
      <c r="Q108"/>
      <c r="R108"/>
      <c r="S108"/>
    </row>
    <row r="109" spans="2:19" ht="13" x14ac:dyDescent="0.3">
      <c r="B109"/>
      <c r="C109"/>
      <c r="D109"/>
      <c r="E109"/>
      <c r="F109"/>
      <c r="G109"/>
      <c r="H109"/>
      <c r="I109"/>
      <c r="J109"/>
      <c r="K109"/>
      <c r="L109"/>
      <c r="M109"/>
      <c r="N109"/>
      <c r="Q109"/>
      <c r="R109"/>
      <c r="S109"/>
    </row>
    <row r="110" spans="2:19" ht="13" x14ac:dyDescent="0.3">
      <c r="B110"/>
      <c r="C110"/>
      <c r="D110"/>
      <c r="E110"/>
      <c r="F110"/>
      <c r="G110"/>
      <c r="H110"/>
      <c r="I110"/>
      <c r="J110"/>
      <c r="K110"/>
      <c r="L110"/>
      <c r="M110"/>
      <c r="N110"/>
      <c r="Q110"/>
      <c r="R110"/>
      <c r="S110"/>
    </row>
    <row r="111" spans="2:19" ht="13" x14ac:dyDescent="0.3">
      <c r="B111"/>
      <c r="C111"/>
      <c r="D111"/>
      <c r="E111"/>
      <c r="F111"/>
      <c r="G111"/>
      <c r="H111"/>
      <c r="I111"/>
      <c r="J111"/>
      <c r="K111"/>
      <c r="L111"/>
      <c r="M111"/>
      <c r="N111"/>
      <c r="Q111"/>
      <c r="R111"/>
      <c r="S111"/>
    </row>
    <row r="112" spans="2:19" ht="13" x14ac:dyDescent="0.3">
      <c r="B112"/>
      <c r="C112"/>
      <c r="D112"/>
      <c r="E112"/>
      <c r="F112"/>
      <c r="G112"/>
      <c r="H112"/>
      <c r="I112"/>
      <c r="J112"/>
      <c r="K112"/>
      <c r="L112"/>
      <c r="M112"/>
      <c r="N112"/>
      <c r="Q112"/>
      <c r="R112"/>
      <c r="S112"/>
    </row>
    <row r="113" spans="2:19" ht="13" x14ac:dyDescent="0.3">
      <c r="B113"/>
      <c r="C113"/>
      <c r="D113"/>
      <c r="E113"/>
      <c r="F113"/>
      <c r="G113"/>
      <c r="H113"/>
      <c r="I113"/>
      <c r="J113"/>
      <c r="K113"/>
      <c r="L113"/>
      <c r="M113"/>
      <c r="N113"/>
      <c r="Q113"/>
      <c r="R113"/>
      <c r="S113"/>
    </row>
    <row r="114" spans="2:19" ht="13" x14ac:dyDescent="0.3">
      <c r="B114"/>
      <c r="C114"/>
      <c r="D114"/>
      <c r="E114"/>
      <c r="F114"/>
      <c r="G114"/>
      <c r="H114"/>
      <c r="I114"/>
      <c r="J114"/>
      <c r="K114"/>
      <c r="L114"/>
      <c r="M114"/>
      <c r="N114"/>
      <c r="Q114"/>
      <c r="R114"/>
      <c r="S114"/>
    </row>
    <row r="115" spans="2:19" ht="13" x14ac:dyDescent="0.3">
      <c r="B115"/>
      <c r="C115"/>
      <c r="D115"/>
      <c r="E115"/>
      <c r="F115"/>
      <c r="G115"/>
      <c r="H115"/>
      <c r="I115"/>
      <c r="J115"/>
      <c r="K115"/>
      <c r="L115"/>
      <c r="M115"/>
      <c r="N115"/>
      <c r="Q115"/>
      <c r="R115"/>
      <c r="S115"/>
    </row>
    <row r="116" spans="2:19" ht="13" x14ac:dyDescent="0.3">
      <c r="B116"/>
      <c r="C116"/>
      <c r="D116"/>
      <c r="E116"/>
      <c r="F116"/>
      <c r="G116"/>
      <c r="H116"/>
      <c r="I116"/>
      <c r="J116"/>
      <c r="K116"/>
      <c r="L116"/>
      <c r="M116"/>
      <c r="N116"/>
      <c r="Q116"/>
      <c r="R116"/>
      <c r="S116"/>
    </row>
    <row r="117" spans="2:19" ht="13" x14ac:dyDescent="0.3">
      <c r="B117"/>
      <c r="C117"/>
      <c r="D117"/>
      <c r="E117"/>
      <c r="F117"/>
      <c r="G117"/>
      <c r="H117"/>
      <c r="I117"/>
      <c r="J117"/>
      <c r="K117"/>
      <c r="L117"/>
      <c r="M117"/>
      <c r="N117"/>
      <c r="Q117"/>
      <c r="R117"/>
      <c r="S117"/>
    </row>
    <row r="118" spans="2:19" ht="13" x14ac:dyDescent="0.3">
      <c r="B118"/>
      <c r="C118"/>
      <c r="D118"/>
      <c r="E118"/>
      <c r="F118"/>
      <c r="G118"/>
      <c r="H118"/>
      <c r="I118"/>
      <c r="J118"/>
      <c r="K118"/>
      <c r="L118"/>
      <c r="M118"/>
      <c r="N118"/>
      <c r="Q118"/>
      <c r="R118"/>
      <c r="S118"/>
    </row>
    <row r="119" spans="2:19" ht="13" x14ac:dyDescent="0.3">
      <c r="B119"/>
      <c r="C119"/>
      <c r="D119"/>
      <c r="E119"/>
      <c r="F119"/>
      <c r="G119"/>
      <c r="H119"/>
      <c r="I119"/>
      <c r="J119"/>
      <c r="K119"/>
      <c r="L119"/>
      <c r="M119"/>
      <c r="N119"/>
      <c r="Q119"/>
      <c r="R119"/>
      <c r="S119"/>
    </row>
    <row r="120" spans="2:19" ht="13" x14ac:dyDescent="0.3">
      <c r="B120"/>
      <c r="C120"/>
      <c r="D120"/>
      <c r="E120"/>
      <c r="F120"/>
      <c r="G120"/>
      <c r="H120"/>
      <c r="I120"/>
      <c r="J120"/>
      <c r="K120"/>
      <c r="L120"/>
      <c r="M120"/>
      <c r="N120"/>
      <c r="Q120"/>
      <c r="R120"/>
      <c r="S120"/>
    </row>
    <row r="121" spans="2:19" ht="13" x14ac:dyDescent="0.3">
      <c r="B121"/>
      <c r="C121"/>
      <c r="D121"/>
      <c r="E121"/>
      <c r="F121"/>
      <c r="G121"/>
      <c r="H121"/>
      <c r="I121"/>
      <c r="J121"/>
      <c r="K121"/>
      <c r="L121"/>
      <c r="M121"/>
      <c r="N121"/>
      <c r="Q121"/>
      <c r="R121"/>
      <c r="S121"/>
    </row>
    <row r="122" spans="2:19" ht="13" x14ac:dyDescent="0.3">
      <c r="B122"/>
      <c r="C122"/>
      <c r="D122"/>
      <c r="E122"/>
      <c r="F122"/>
      <c r="G122"/>
      <c r="H122"/>
      <c r="I122"/>
      <c r="J122"/>
      <c r="K122"/>
      <c r="L122"/>
      <c r="M122"/>
      <c r="N122"/>
      <c r="Q122"/>
      <c r="R122"/>
      <c r="S122"/>
    </row>
    <row r="123" spans="2:19" ht="13" x14ac:dyDescent="0.3">
      <c r="B123"/>
      <c r="C123"/>
      <c r="D123"/>
      <c r="E123"/>
      <c r="F123"/>
      <c r="G123"/>
      <c r="H123"/>
      <c r="I123"/>
      <c r="J123"/>
      <c r="K123"/>
      <c r="L123"/>
      <c r="M123"/>
      <c r="N123"/>
      <c r="Q123"/>
      <c r="R123"/>
      <c r="S123"/>
    </row>
    <row r="124" spans="2:19" ht="13" x14ac:dyDescent="0.3">
      <c r="B124"/>
      <c r="C124"/>
      <c r="D124"/>
      <c r="E124"/>
      <c r="F124"/>
      <c r="G124"/>
      <c r="H124"/>
      <c r="I124"/>
      <c r="J124"/>
      <c r="K124"/>
      <c r="L124"/>
      <c r="M124"/>
      <c r="N124"/>
      <c r="Q124"/>
      <c r="R124"/>
      <c r="S124"/>
    </row>
    <row r="125" spans="2:19" ht="13" x14ac:dyDescent="0.3">
      <c r="B125"/>
      <c r="C125"/>
      <c r="D125"/>
      <c r="E125"/>
      <c r="F125"/>
      <c r="G125"/>
      <c r="H125"/>
      <c r="I125"/>
      <c r="J125"/>
      <c r="K125"/>
      <c r="L125"/>
      <c r="M125"/>
      <c r="N125"/>
      <c r="Q125"/>
      <c r="R125"/>
      <c r="S125"/>
    </row>
    <row r="126" spans="2:19" ht="13" x14ac:dyDescent="0.3">
      <c r="B126"/>
      <c r="C126"/>
      <c r="D126"/>
      <c r="E126"/>
      <c r="F126"/>
      <c r="G126"/>
      <c r="H126"/>
      <c r="I126"/>
      <c r="J126"/>
      <c r="K126"/>
      <c r="L126"/>
      <c r="M126"/>
      <c r="N126"/>
      <c r="Q126"/>
      <c r="R126"/>
      <c r="S126"/>
    </row>
    <row r="127" spans="2:19" ht="13" x14ac:dyDescent="0.3">
      <c r="B127"/>
      <c r="C127"/>
      <c r="D127"/>
      <c r="E127"/>
      <c r="F127"/>
      <c r="G127"/>
      <c r="H127"/>
      <c r="I127"/>
      <c r="J127"/>
      <c r="K127"/>
      <c r="L127"/>
      <c r="M127"/>
      <c r="N127"/>
      <c r="Q127"/>
      <c r="R127"/>
      <c r="S127"/>
    </row>
    <row r="128" spans="2:19" ht="13" x14ac:dyDescent="0.3">
      <c r="B128"/>
      <c r="C128"/>
      <c r="D128"/>
      <c r="E128"/>
      <c r="F128"/>
      <c r="G128"/>
      <c r="H128"/>
      <c r="I128"/>
      <c r="J128"/>
      <c r="K128"/>
      <c r="L128"/>
      <c r="M128"/>
      <c r="N128"/>
      <c r="Q128"/>
      <c r="R128"/>
      <c r="S128"/>
    </row>
    <row r="129" spans="2:19" ht="13" x14ac:dyDescent="0.3">
      <c r="B129"/>
      <c r="C129"/>
      <c r="D129"/>
      <c r="E129"/>
      <c r="F129"/>
      <c r="G129"/>
      <c r="H129"/>
      <c r="I129"/>
      <c r="J129"/>
      <c r="K129"/>
      <c r="L129"/>
      <c r="M129"/>
      <c r="N129"/>
      <c r="Q129"/>
      <c r="R129"/>
      <c r="S129"/>
    </row>
    <row r="130" spans="2:19" ht="13" x14ac:dyDescent="0.3">
      <c r="B130"/>
      <c r="C130"/>
      <c r="D130"/>
      <c r="E130"/>
      <c r="F130"/>
      <c r="G130"/>
      <c r="H130"/>
      <c r="I130"/>
      <c r="J130"/>
      <c r="K130"/>
      <c r="L130"/>
      <c r="M130"/>
      <c r="N130"/>
      <c r="Q130"/>
      <c r="R130"/>
      <c r="S130"/>
    </row>
    <row r="131" spans="2:19" ht="13" x14ac:dyDescent="0.3">
      <c r="B131"/>
      <c r="C131"/>
      <c r="D131"/>
      <c r="E131"/>
      <c r="F131"/>
      <c r="G131"/>
      <c r="H131"/>
      <c r="I131"/>
      <c r="J131"/>
      <c r="K131"/>
      <c r="L131"/>
      <c r="M131"/>
      <c r="N131"/>
      <c r="Q131"/>
      <c r="R131"/>
      <c r="S131"/>
    </row>
    <row r="132" spans="2:19" ht="13" x14ac:dyDescent="0.3">
      <c r="B132"/>
      <c r="C132"/>
      <c r="D132"/>
      <c r="E132"/>
      <c r="F132"/>
      <c r="G132"/>
      <c r="H132"/>
      <c r="I132"/>
      <c r="J132"/>
      <c r="K132"/>
      <c r="L132"/>
      <c r="M132"/>
      <c r="N132"/>
      <c r="Q132"/>
      <c r="R132"/>
      <c r="S132"/>
    </row>
    <row r="133" spans="2:19" ht="13" x14ac:dyDescent="0.3">
      <c r="B133"/>
      <c r="C133"/>
      <c r="D133"/>
      <c r="E133"/>
      <c r="F133"/>
      <c r="G133"/>
      <c r="H133"/>
      <c r="I133"/>
      <c r="J133"/>
      <c r="K133"/>
      <c r="L133"/>
      <c r="M133"/>
      <c r="N133"/>
      <c r="Q133"/>
      <c r="R133"/>
      <c r="S133"/>
    </row>
    <row r="134" spans="2:19" ht="13" x14ac:dyDescent="0.3">
      <c r="B134"/>
      <c r="C134"/>
      <c r="D134"/>
      <c r="E134"/>
      <c r="F134"/>
      <c r="G134"/>
      <c r="H134"/>
      <c r="I134"/>
      <c r="J134"/>
      <c r="K134"/>
      <c r="L134"/>
      <c r="M134"/>
      <c r="N134"/>
      <c r="Q134"/>
      <c r="R134"/>
      <c r="S134"/>
    </row>
    <row r="135" spans="2:19" ht="13" x14ac:dyDescent="0.3">
      <c r="B135"/>
      <c r="C135"/>
      <c r="D135"/>
      <c r="E135"/>
      <c r="F135"/>
      <c r="G135"/>
      <c r="H135"/>
      <c r="I135"/>
      <c r="J135"/>
      <c r="K135"/>
      <c r="L135"/>
      <c r="M135"/>
      <c r="N135"/>
      <c r="Q135"/>
      <c r="R135"/>
      <c r="S135"/>
    </row>
    <row r="136" spans="2:19" ht="13" x14ac:dyDescent="0.3">
      <c r="B136"/>
      <c r="C136"/>
      <c r="D136"/>
      <c r="E136"/>
      <c r="F136"/>
      <c r="G136"/>
      <c r="H136"/>
      <c r="I136"/>
      <c r="J136"/>
      <c r="K136"/>
      <c r="L136"/>
      <c r="M136"/>
      <c r="N136"/>
      <c r="Q136"/>
      <c r="R136"/>
      <c r="S136"/>
    </row>
    <row r="137" spans="2:19" ht="13" x14ac:dyDescent="0.3">
      <c r="B137"/>
      <c r="C137"/>
      <c r="D137"/>
      <c r="E137"/>
      <c r="F137"/>
      <c r="G137"/>
      <c r="H137"/>
      <c r="I137"/>
      <c r="J137"/>
      <c r="K137"/>
      <c r="L137"/>
      <c r="M137"/>
      <c r="N137"/>
      <c r="Q137"/>
      <c r="R137"/>
      <c r="S137"/>
    </row>
    <row r="138" spans="2:19" ht="13" x14ac:dyDescent="0.3">
      <c r="B138"/>
      <c r="C138"/>
      <c r="D138"/>
      <c r="E138"/>
      <c r="F138"/>
      <c r="G138"/>
      <c r="H138"/>
      <c r="I138"/>
      <c r="J138"/>
      <c r="K138"/>
      <c r="L138"/>
      <c r="M138"/>
      <c r="N138"/>
      <c r="Q138"/>
      <c r="R138"/>
      <c r="S138"/>
    </row>
    <row r="139" spans="2:19" ht="13" x14ac:dyDescent="0.3">
      <c r="B139"/>
      <c r="C139"/>
      <c r="D139"/>
      <c r="E139"/>
      <c r="F139"/>
      <c r="G139"/>
      <c r="H139"/>
      <c r="I139"/>
      <c r="J139"/>
      <c r="K139"/>
      <c r="L139"/>
      <c r="M139"/>
      <c r="N139"/>
      <c r="Q139"/>
      <c r="R139"/>
      <c r="S139"/>
    </row>
    <row r="140" spans="2:19" ht="13" x14ac:dyDescent="0.3">
      <c r="B140"/>
      <c r="C140"/>
      <c r="D140"/>
      <c r="E140"/>
      <c r="F140"/>
      <c r="G140"/>
      <c r="H140"/>
      <c r="I140"/>
      <c r="J140"/>
      <c r="K140"/>
      <c r="L140"/>
      <c r="M140"/>
      <c r="N140"/>
      <c r="Q140"/>
      <c r="R140"/>
      <c r="S140"/>
    </row>
    <row r="141" spans="2:19" ht="13" x14ac:dyDescent="0.3">
      <c r="B141"/>
      <c r="C141"/>
      <c r="D141"/>
      <c r="E141"/>
      <c r="F141"/>
      <c r="G141"/>
      <c r="H141"/>
      <c r="I141"/>
      <c r="J141"/>
      <c r="K141"/>
      <c r="L141"/>
      <c r="M141"/>
      <c r="N141"/>
      <c r="Q141"/>
      <c r="R141"/>
      <c r="S141"/>
    </row>
    <row r="142" spans="2:19" ht="13" x14ac:dyDescent="0.3">
      <c r="Q142"/>
      <c r="R142"/>
      <c r="S142"/>
    </row>
    <row r="143" spans="2:19" ht="13" x14ac:dyDescent="0.3">
      <c r="Q143"/>
      <c r="R143"/>
      <c r="S143"/>
    </row>
    <row r="144" spans="2:19" ht="13" x14ac:dyDescent="0.3">
      <c r="Q144"/>
      <c r="R144"/>
      <c r="S144"/>
    </row>
    <row r="145" spans="17:19" ht="13" x14ac:dyDescent="0.3">
      <c r="Q145"/>
      <c r="R145"/>
      <c r="S145"/>
    </row>
    <row r="146" spans="17:19" ht="13" x14ac:dyDescent="0.3">
      <c r="Q146"/>
      <c r="R146"/>
      <c r="S146"/>
    </row>
    <row r="147" spans="17:19" ht="13" x14ac:dyDescent="0.3">
      <c r="Q147"/>
      <c r="R147"/>
      <c r="S147"/>
    </row>
    <row r="148" spans="17:19" ht="13" x14ac:dyDescent="0.3">
      <c r="Q148"/>
      <c r="R148"/>
      <c r="S148"/>
    </row>
    <row r="149" spans="17:19" ht="13" x14ac:dyDescent="0.3">
      <c r="Q149"/>
      <c r="R149"/>
      <c r="S149"/>
    </row>
    <row r="150" spans="17:19" ht="13" x14ac:dyDescent="0.3">
      <c r="Q150"/>
      <c r="R150"/>
      <c r="S150"/>
    </row>
    <row r="151" spans="17:19" ht="13" x14ac:dyDescent="0.3">
      <c r="Q151"/>
      <c r="R151"/>
      <c r="S151"/>
    </row>
    <row r="152" spans="17:19" ht="13" x14ac:dyDescent="0.3">
      <c r="Q152"/>
      <c r="R152"/>
      <c r="S152"/>
    </row>
    <row r="153" spans="17:19" ht="13" x14ac:dyDescent="0.3">
      <c r="Q153"/>
      <c r="R153"/>
      <c r="S153"/>
    </row>
    <row r="154" spans="17:19" ht="13" x14ac:dyDescent="0.3">
      <c r="Q154"/>
      <c r="R154"/>
      <c r="S154"/>
    </row>
    <row r="155" spans="17:19" ht="13" x14ac:dyDescent="0.3">
      <c r="Q155"/>
      <c r="R155"/>
      <c r="S155"/>
    </row>
    <row r="156" spans="17:19" ht="13" x14ac:dyDescent="0.3">
      <c r="Q156"/>
      <c r="R156"/>
      <c r="S156"/>
    </row>
    <row r="157" spans="17:19" ht="13" x14ac:dyDescent="0.3">
      <c r="Q157"/>
      <c r="R157"/>
      <c r="S157"/>
    </row>
    <row r="158" spans="17:19" ht="13" x14ac:dyDescent="0.3">
      <c r="Q158"/>
      <c r="R158"/>
      <c r="S158"/>
    </row>
    <row r="159" spans="17:19" ht="13" x14ac:dyDescent="0.3">
      <c r="Q159"/>
      <c r="R159"/>
      <c r="S159"/>
    </row>
    <row r="160" spans="17:19" ht="13" x14ac:dyDescent="0.3">
      <c r="Q160"/>
      <c r="R160"/>
      <c r="S160"/>
    </row>
    <row r="161" spans="17:19" ht="13" x14ac:dyDescent="0.3">
      <c r="Q161"/>
      <c r="R161"/>
      <c r="S161"/>
    </row>
    <row r="162" spans="17:19" ht="13" x14ac:dyDescent="0.3">
      <c r="Q162"/>
      <c r="R162"/>
      <c r="S162"/>
    </row>
    <row r="163" spans="17:19" ht="13" x14ac:dyDescent="0.3">
      <c r="Q163"/>
      <c r="R163"/>
      <c r="S163"/>
    </row>
    <row r="164" spans="17:19" ht="13" x14ac:dyDescent="0.3">
      <c r="Q164"/>
      <c r="R164"/>
      <c r="S164"/>
    </row>
    <row r="165" spans="17:19" ht="13" x14ac:dyDescent="0.3">
      <c r="Q165"/>
      <c r="R165"/>
      <c r="S165"/>
    </row>
    <row r="166" spans="17:19" ht="13" x14ac:dyDescent="0.3">
      <c r="Q166"/>
      <c r="R166"/>
      <c r="S166"/>
    </row>
    <row r="167" spans="17:19" ht="13" x14ac:dyDescent="0.3">
      <c r="Q167"/>
      <c r="R167"/>
      <c r="S167"/>
    </row>
    <row r="168" spans="17:19" ht="13" x14ac:dyDescent="0.3">
      <c r="Q168"/>
      <c r="R168"/>
      <c r="S168"/>
    </row>
    <row r="169" spans="17:19" ht="13" x14ac:dyDescent="0.3">
      <c r="Q169"/>
      <c r="R169"/>
      <c r="S169"/>
    </row>
    <row r="170" spans="17:19" ht="13" x14ac:dyDescent="0.3">
      <c r="Q170"/>
      <c r="R170"/>
      <c r="S170"/>
    </row>
    <row r="171" spans="17:19" ht="13" x14ac:dyDescent="0.3">
      <c r="Q171"/>
      <c r="R171"/>
      <c r="S171"/>
    </row>
    <row r="172" spans="17:19" ht="13" x14ac:dyDescent="0.3">
      <c r="Q172"/>
      <c r="R172"/>
      <c r="S172"/>
    </row>
    <row r="173" spans="17:19" ht="13" x14ac:dyDescent="0.3">
      <c r="Q173"/>
      <c r="R173"/>
    </row>
    <row r="174" spans="17:19" ht="13" x14ac:dyDescent="0.3">
      <c r="Q174"/>
      <c r="R174"/>
    </row>
    <row r="175" spans="17:19" ht="13" x14ac:dyDescent="0.3">
      <c r="Q175"/>
      <c r="R175"/>
    </row>
    <row r="176" spans="17:19" ht="13" x14ac:dyDescent="0.3">
      <c r="Q176"/>
      <c r="R176"/>
    </row>
    <row r="177" spans="17:18" ht="13" x14ac:dyDescent="0.3">
      <c r="Q177"/>
      <c r="R177"/>
    </row>
    <row r="178" spans="17:18" ht="13" x14ac:dyDescent="0.3">
      <c r="Q178"/>
      <c r="R178"/>
    </row>
    <row r="179" spans="17:18" ht="13" x14ac:dyDescent="0.3">
      <c r="Q179"/>
      <c r="R179"/>
    </row>
    <row r="180" spans="17:18" ht="13" x14ac:dyDescent="0.3">
      <c r="Q180"/>
      <c r="R180"/>
    </row>
    <row r="181" spans="17:18" ht="13" x14ac:dyDescent="0.3">
      <c r="Q181"/>
      <c r="R181"/>
    </row>
    <row r="182" spans="17:18" ht="13" x14ac:dyDescent="0.3">
      <c r="Q182"/>
      <c r="R182"/>
    </row>
    <row r="183" spans="17:18" ht="13" x14ac:dyDescent="0.3">
      <c r="Q183"/>
      <c r="R183"/>
    </row>
    <row r="184" spans="17:18" ht="13" x14ac:dyDescent="0.3">
      <c r="Q184"/>
      <c r="R184"/>
    </row>
    <row r="185" spans="17:18" ht="13" x14ac:dyDescent="0.3">
      <c r="Q185"/>
      <c r="R185"/>
    </row>
    <row r="186" spans="17:18" ht="13" x14ac:dyDescent="0.3">
      <c r="Q186"/>
      <c r="R186"/>
    </row>
    <row r="187" spans="17:18" ht="13" x14ac:dyDescent="0.3">
      <c r="Q187"/>
      <c r="R187"/>
    </row>
    <row r="188" spans="17:18" ht="13" x14ac:dyDescent="0.3">
      <c r="Q188"/>
      <c r="R188"/>
    </row>
    <row r="189" spans="17:18" ht="13" x14ac:dyDescent="0.3">
      <c r="Q189"/>
      <c r="R189"/>
    </row>
    <row r="190" spans="17:18" ht="13" x14ac:dyDescent="0.3">
      <c r="Q190"/>
      <c r="R190"/>
    </row>
    <row r="191" spans="17:18" ht="13" x14ac:dyDescent="0.3">
      <c r="Q191"/>
      <c r="R191"/>
    </row>
    <row r="192" spans="17:18" ht="13" x14ac:dyDescent="0.3">
      <c r="Q192"/>
      <c r="R192"/>
    </row>
  </sheetData>
  <pageMargins left="0.3" right="0.3" top="0.3" bottom="0.3" header="0.2" footer="0.2"/>
  <pageSetup scale="75" orientation="landscape" horizontalDpi="200" verticalDpi="200" r:id="rId9"/>
  <headerFooter alignWithMargins="0">
    <oddHeader>&amp;CTab: &amp;A</oddHeader>
    <oddFooter>&amp;L&amp;D &amp;T&amp;C&amp;Z&amp;F -- &amp;A&amp;R&amp;P/&amp;N</oddFooter>
  </headerFooter>
  <drawing r:id="rId10"/>
  <legacyDrawing r:id="rId11"/>
  <mc:AlternateContent xmlns:mc="http://schemas.openxmlformats.org/markup-compatibility/2006">
    <mc:Choice Requires="x14">
      <controls>
        <mc:AlternateContent xmlns:mc="http://schemas.openxmlformats.org/markup-compatibility/2006">
          <mc:Choice Requires="x14">
            <control shapeId="5121" r:id="rId12" name="Button 1">
              <controlPr defaultSize="0" print="0" autoFill="0" autoPict="0" macro="[0]!ThisWorkbook.Navigate_Instruction_Send_To_Answer_1">
                <anchor moveWithCells="1" sizeWithCells="1">
                  <from>
                    <xdr:col>9</xdr:col>
                    <xdr:colOff>127000</xdr:colOff>
                    <xdr:row>9</xdr:row>
                    <xdr:rowOff>76200</xdr:rowOff>
                  </from>
                  <to>
                    <xdr:col>11</xdr:col>
                    <xdr:colOff>419100</xdr:colOff>
                    <xdr:row>12</xdr:row>
                    <xdr:rowOff>127000</xdr:rowOff>
                  </to>
                </anchor>
              </controlPr>
            </control>
          </mc:Choice>
        </mc:AlternateContent>
        <mc:AlternateContent xmlns:mc="http://schemas.openxmlformats.org/markup-compatibility/2006">
          <mc:Choice Requires="x14">
            <control shapeId="5122" r:id="rId13" name="Button 2">
              <controlPr defaultSize="0" print="0" autoFill="0" autoPict="0" macro="[0]!ThisWorkbook.Navigate_Instruction_Send_To_Answer_2">
                <anchor moveWithCells="1" sizeWithCells="1">
                  <from>
                    <xdr:col>9</xdr:col>
                    <xdr:colOff>146050</xdr:colOff>
                    <xdr:row>19</xdr:row>
                    <xdr:rowOff>38100</xdr:rowOff>
                  </from>
                  <to>
                    <xdr:col>11</xdr:col>
                    <xdr:colOff>457200</xdr:colOff>
                    <xdr:row>22</xdr:row>
                    <xdr:rowOff>69850</xdr:rowOff>
                  </to>
                </anchor>
              </controlPr>
            </control>
          </mc:Choice>
        </mc:AlternateContent>
        <mc:AlternateContent xmlns:mc="http://schemas.openxmlformats.org/markup-compatibility/2006">
          <mc:Choice Requires="x14">
            <control shapeId="5123" r:id="rId14" name="Button 3">
              <controlPr defaultSize="0" print="0" autoFill="0" autoPict="0" macro="[0]!ThisWorkbook.Navigate_Instruction_Send_To_Answer_3">
                <anchor moveWithCells="1" sizeWithCells="1">
                  <from>
                    <xdr:col>9</xdr:col>
                    <xdr:colOff>88900</xdr:colOff>
                    <xdr:row>29</xdr:row>
                    <xdr:rowOff>127000</xdr:rowOff>
                  </from>
                  <to>
                    <xdr:col>11</xdr:col>
                    <xdr:colOff>381000</xdr:colOff>
                    <xdr:row>32</xdr:row>
                    <xdr:rowOff>146050</xdr:rowOff>
                  </to>
                </anchor>
              </controlPr>
            </control>
          </mc:Choice>
        </mc:AlternateContent>
        <mc:AlternateContent xmlns:mc="http://schemas.openxmlformats.org/markup-compatibility/2006">
          <mc:Choice Requires="x14">
            <control shapeId="5124" r:id="rId15" name="Button 4">
              <controlPr defaultSize="0" print="0" autoFill="0" autoPict="0" macro="[0]!ThisWorkbook.Navigate_Instruction_Send_To_Answer_4">
                <anchor moveWithCells="1" sizeWithCells="1">
                  <from>
                    <xdr:col>9</xdr:col>
                    <xdr:colOff>38100</xdr:colOff>
                    <xdr:row>39</xdr:row>
                    <xdr:rowOff>107950</xdr:rowOff>
                  </from>
                  <to>
                    <xdr:col>11</xdr:col>
                    <xdr:colOff>336550</xdr:colOff>
                    <xdr:row>42</xdr:row>
                    <xdr:rowOff>146050</xdr:rowOff>
                  </to>
                </anchor>
              </controlPr>
            </control>
          </mc:Choice>
        </mc:AlternateContent>
        <mc:AlternateContent xmlns:mc="http://schemas.openxmlformats.org/markup-compatibility/2006">
          <mc:Choice Requires="x14">
            <control shapeId="5125" r:id="rId16" name="Button 5">
              <controlPr defaultSize="0" print="0" autoFill="0" autoPict="0" macro="[0]!ThisWorkbook.Navigate_Instruction_Send_To_Answer_5">
                <anchor moveWithCells="1" sizeWithCells="1">
                  <from>
                    <xdr:col>9</xdr:col>
                    <xdr:colOff>88900</xdr:colOff>
                    <xdr:row>49</xdr:row>
                    <xdr:rowOff>76200</xdr:rowOff>
                  </from>
                  <to>
                    <xdr:col>11</xdr:col>
                    <xdr:colOff>381000</xdr:colOff>
                    <xdr:row>52</xdr:row>
                    <xdr:rowOff>107950</xdr:rowOff>
                  </to>
                </anchor>
              </controlPr>
            </control>
          </mc:Choice>
        </mc:AlternateContent>
        <mc:AlternateContent xmlns:mc="http://schemas.openxmlformats.org/markup-compatibility/2006">
          <mc:Choice Requires="x14">
            <control shapeId="5126" r:id="rId17" name="Button 6">
              <controlPr defaultSize="0" print="0" autoFill="0" autoPict="0" macro="[0]!ThisWorkbook.Navigate_Instruction_Send_To_Answer_6">
                <anchor moveWithCells="1" sizeWithCells="1">
                  <from>
                    <xdr:col>9</xdr:col>
                    <xdr:colOff>69850</xdr:colOff>
                    <xdr:row>57</xdr:row>
                    <xdr:rowOff>12700</xdr:rowOff>
                  </from>
                  <to>
                    <xdr:col>11</xdr:col>
                    <xdr:colOff>342900</xdr:colOff>
                    <xdr:row>60</xdr:row>
                    <xdr:rowOff>38100</xdr:rowOff>
                  </to>
                </anchor>
              </controlPr>
            </control>
          </mc:Choice>
        </mc:AlternateContent>
        <mc:AlternateContent xmlns:mc="http://schemas.openxmlformats.org/markup-compatibility/2006">
          <mc:Choice Requires="x14">
            <control shapeId="5127" r:id="rId18" name="Button 7">
              <controlPr defaultSize="0" print="0" autoFill="0" autoPict="0" macro="[0]!ThisWorkbook.Navigate_Instruction_Send_To_Answer_7">
                <anchor moveWithCells="1" sizeWithCells="1">
                  <from>
                    <xdr:col>9</xdr:col>
                    <xdr:colOff>431800</xdr:colOff>
                    <xdr:row>65</xdr:row>
                    <xdr:rowOff>152400</xdr:rowOff>
                  </from>
                  <to>
                    <xdr:col>12</xdr:col>
                    <xdr:colOff>184150</xdr:colOff>
                    <xdr:row>69</xdr:row>
                    <xdr:rowOff>31750</xdr:rowOff>
                  </to>
                </anchor>
              </controlPr>
            </control>
          </mc:Choice>
        </mc:AlternateContent>
        <mc:AlternateContent xmlns:mc="http://schemas.openxmlformats.org/markup-compatibility/2006">
          <mc:Choice Requires="x14">
            <control shapeId="5128" r:id="rId19" name="Button 8">
              <controlPr defaultSize="0" print="0" autoFill="0" autoPict="0" macro="[0]!ThisWorkbook.Navigate_Instruction_Send_To_Answer_8">
                <anchor moveWithCells="1" sizeWithCells="1">
                  <from>
                    <xdr:col>9</xdr:col>
                    <xdr:colOff>184150</xdr:colOff>
                    <xdr:row>78</xdr:row>
                    <xdr:rowOff>152400</xdr:rowOff>
                  </from>
                  <to>
                    <xdr:col>11</xdr:col>
                    <xdr:colOff>488950</xdr:colOff>
                    <xdr:row>82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96"/>
  <sheetViews>
    <sheetView showGridLines="0" zoomScale="80" workbookViewId="0">
      <selection activeCell="H1" sqref="H1"/>
    </sheetView>
  </sheetViews>
  <sheetFormatPr defaultColWidth="9.33203125" defaultRowHeight="12.5" outlineLevelRow="1" x14ac:dyDescent="0.25"/>
  <cols>
    <col min="1" max="5" width="9.33203125" style="2"/>
    <col min="6" max="6" width="31.33203125" style="2" customWidth="1"/>
    <col min="7" max="7" width="20.77734375" style="2" customWidth="1"/>
    <col min="8"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0" ht="13" x14ac:dyDescent="0.3">
      <c r="A1" s="3" t="str">
        <f>Introduction!A1</f>
        <v>Problem Solving with Excel</v>
      </c>
      <c r="E1" s="2" t="s">
        <v>321</v>
      </c>
    </row>
    <row r="2" spans="1:10" ht="13" x14ac:dyDescent="0.3">
      <c r="A2" s="3" t="str">
        <f>Introduction!A2</f>
        <v>Week 3</v>
      </c>
    </row>
    <row r="3" spans="1:10" ht="13" x14ac:dyDescent="0.3">
      <c r="A3" s="3" t="str">
        <f>Introduction!A3</f>
        <v>Pivot Tables</v>
      </c>
    </row>
    <row r="4" spans="1:10" ht="13" x14ac:dyDescent="0.3">
      <c r="A4" s="3" t="str">
        <f ca="1">MID(CELL("Filename",I7),SEARCH("]",CELL("Filename",I7),1)+1,100)</f>
        <v>Optional Student Exercises</v>
      </c>
    </row>
    <row r="7" spans="1:10" ht="18.5" x14ac:dyDescent="0.45">
      <c r="B7" s="5" t="s">
        <v>318</v>
      </c>
    </row>
    <row r="8" spans="1:10" ht="13" hidden="1" outlineLevel="1" x14ac:dyDescent="0.3">
      <c r="F8" s="46" t="s">
        <v>280</v>
      </c>
      <c r="G8"/>
    </row>
    <row r="9" spans="1:10" ht="13" hidden="1" outlineLevel="1" x14ac:dyDescent="0.3">
      <c r="F9"/>
      <c r="G9"/>
      <c r="H9"/>
      <c r="I9"/>
      <c r="J9"/>
    </row>
    <row r="10" spans="1:10" ht="13" hidden="1" outlineLevel="1" x14ac:dyDescent="0.3">
      <c r="F10" s="50" t="s">
        <v>233</v>
      </c>
      <c r="G10" t="s">
        <v>234</v>
      </c>
      <c r="H10"/>
      <c r="I10"/>
      <c r="J10"/>
    </row>
    <row r="11" spans="1:10" ht="13" hidden="1" outlineLevel="1" x14ac:dyDescent="0.3">
      <c r="F11" s="51" t="s">
        <v>17</v>
      </c>
      <c r="G11" s="63">
        <v>3016</v>
      </c>
      <c r="H11"/>
      <c r="I11"/>
      <c r="J11"/>
    </row>
    <row r="12" spans="1:10" ht="13" hidden="1" outlineLevel="1" x14ac:dyDescent="0.3">
      <c r="F12" s="51" t="s">
        <v>232</v>
      </c>
      <c r="G12" s="63">
        <v>3016</v>
      </c>
      <c r="H12"/>
      <c r="I12"/>
      <c r="J12"/>
    </row>
    <row r="13" spans="1:10" ht="13" hidden="1" outlineLevel="1" x14ac:dyDescent="0.3">
      <c r="F13"/>
      <c r="G13"/>
      <c r="H13"/>
      <c r="I13"/>
      <c r="J13"/>
    </row>
    <row r="14" spans="1:10" ht="13" hidden="1" outlineLevel="1" x14ac:dyDescent="0.3">
      <c r="F14"/>
      <c r="G14"/>
      <c r="H14"/>
      <c r="I14" t="s">
        <v>248</v>
      </c>
      <c r="J14"/>
    </row>
    <row r="15" spans="1:10" ht="13" hidden="1" outlineLevel="1" x14ac:dyDescent="0.3">
      <c r="F15"/>
      <c r="G15"/>
      <c r="H15"/>
      <c r="I15"/>
      <c r="J15"/>
    </row>
    <row r="16" spans="1:10" ht="13" hidden="1" outlineLevel="1" x14ac:dyDescent="0.3">
      <c r="F16"/>
      <c r="G16"/>
      <c r="H16"/>
      <c r="I16"/>
      <c r="J16"/>
    </row>
    <row r="17" spans="2:10" ht="13" hidden="1" outlineLevel="1" x14ac:dyDescent="0.3">
      <c r="F17"/>
      <c r="G17"/>
      <c r="H17"/>
      <c r="I17"/>
      <c r="J17"/>
    </row>
    <row r="18" spans="2:10" ht="13" hidden="1" outlineLevel="1" x14ac:dyDescent="0.3">
      <c r="F18"/>
      <c r="G18"/>
      <c r="H18"/>
      <c r="I18"/>
      <c r="J18"/>
    </row>
    <row r="19" spans="2:10" ht="13" hidden="1" outlineLevel="1" x14ac:dyDescent="0.3">
      <c r="F19"/>
      <c r="G19"/>
      <c r="H19"/>
      <c r="I19"/>
      <c r="J19"/>
    </row>
    <row r="20" spans="2:10" hidden="1" outlineLevel="1" x14ac:dyDescent="0.25"/>
    <row r="21" spans="2:10" hidden="1" outlineLevel="1" x14ac:dyDescent="0.25"/>
    <row r="22" spans="2:10" hidden="1" outlineLevel="1" x14ac:dyDescent="0.25"/>
    <row r="23" spans="2:10" hidden="1" outlineLevel="1" x14ac:dyDescent="0.25"/>
    <row r="24" spans="2:10" ht="18.5" collapsed="1" x14ac:dyDescent="0.45">
      <c r="B24" s="5" t="s">
        <v>319</v>
      </c>
    </row>
    <row r="25" spans="2:10" ht="13" hidden="1" outlineLevel="1" x14ac:dyDescent="0.3">
      <c r="F25" s="46" t="s">
        <v>281</v>
      </c>
      <c r="G25"/>
    </row>
    <row r="26" spans="2:10" ht="13" hidden="1" outlineLevel="1" x14ac:dyDescent="0.3">
      <c r="F26" s="50" t="s">
        <v>8</v>
      </c>
      <c r="G26" t="s">
        <v>80</v>
      </c>
    </row>
    <row r="27" spans="2:10" ht="13" hidden="1" outlineLevel="1" x14ac:dyDescent="0.3">
      <c r="F27"/>
      <c r="G27"/>
      <c r="H27"/>
      <c r="I27"/>
    </row>
    <row r="28" spans="2:10" ht="13" hidden="1" outlineLevel="1" x14ac:dyDescent="0.3">
      <c r="F28" s="50" t="s">
        <v>282</v>
      </c>
      <c r="G28" t="s">
        <v>234</v>
      </c>
      <c r="H28"/>
      <c r="I28"/>
    </row>
    <row r="29" spans="2:10" ht="13" hidden="1" outlineLevel="1" x14ac:dyDescent="0.3">
      <c r="F29" s="51" t="s">
        <v>79</v>
      </c>
      <c r="G29" s="63">
        <v>949.05000000000007</v>
      </c>
      <c r="H29"/>
      <c r="I29"/>
    </row>
    <row r="30" spans="2:10" ht="13" hidden="1" outlineLevel="1" x14ac:dyDescent="0.3">
      <c r="F30" s="51" t="s">
        <v>106</v>
      </c>
      <c r="G30" s="63">
        <v>682.5</v>
      </c>
      <c r="H30"/>
      <c r="I30"/>
    </row>
    <row r="31" spans="2:10" ht="13" hidden="1" outlineLevel="1" x14ac:dyDescent="0.3">
      <c r="F31" s="51" t="s">
        <v>157</v>
      </c>
      <c r="G31" s="63">
        <v>474.5</v>
      </c>
      <c r="H31"/>
      <c r="I31"/>
    </row>
    <row r="32" spans="2:10" ht="13" hidden="1" outlineLevel="1" x14ac:dyDescent="0.3">
      <c r="F32" s="51" t="s">
        <v>232</v>
      </c>
      <c r="G32" s="63">
        <v>2106.0500000000002</v>
      </c>
      <c r="H32"/>
      <c r="I32"/>
    </row>
    <row r="33" spans="2:9" ht="13" hidden="1" outlineLevel="1" x14ac:dyDescent="0.3">
      <c r="F33"/>
      <c r="G33"/>
      <c r="H33"/>
      <c r="I33"/>
    </row>
    <row r="34" spans="2:9" ht="13" hidden="1" outlineLevel="1" x14ac:dyDescent="0.3">
      <c r="H34"/>
      <c r="I34"/>
    </row>
    <row r="35" spans="2:9" ht="13" hidden="1" outlineLevel="1" x14ac:dyDescent="0.3">
      <c r="H35"/>
      <c r="I35"/>
    </row>
    <row r="36" spans="2:9" ht="13" hidden="1" outlineLevel="1" x14ac:dyDescent="0.3">
      <c r="F36"/>
      <c r="G36"/>
      <c r="H36"/>
      <c r="I36"/>
    </row>
    <row r="37" spans="2:9" ht="13" hidden="1" outlineLevel="1" x14ac:dyDescent="0.3">
      <c r="F37"/>
      <c r="G37"/>
      <c r="H37"/>
      <c r="I37"/>
    </row>
    <row r="38" spans="2:9" ht="13" hidden="1" outlineLevel="1" x14ac:dyDescent="0.3">
      <c r="F38"/>
      <c r="G38"/>
      <c r="H38"/>
      <c r="I38"/>
    </row>
    <row r="39" spans="2:9" hidden="1" outlineLevel="1" x14ac:dyDescent="0.25"/>
    <row r="40" spans="2:9" hidden="1" outlineLevel="1" x14ac:dyDescent="0.25"/>
    <row r="41" spans="2:9" hidden="1" outlineLevel="1" x14ac:dyDescent="0.25"/>
    <row r="42" spans="2:9" hidden="1" outlineLevel="1" x14ac:dyDescent="0.25"/>
    <row r="43" spans="2:9" hidden="1" outlineLevel="1" x14ac:dyDescent="0.25"/>
    <row r="44" spans="2:9" hidden="1" outlineLevel="1" x14ac:dyDescent="0.25"/>
    <row r="45" spans="2:9" ht="18.5" collapsed="1" x14ac:dyDescent="0.45">
      <c r="B45" s="5" t="s">
        <v>320</v>
      </c>
    </row>
    <row r="46" spans="2:9" ht="13" hidden="1" outlineLevel="1" x14ac:dyDescent="0.3">
      <c r="F46" s="46" t="s">
        <v>283</v>
      </c>
    </row>
    <row r="47" spans="2:9" ht="13" hidden="1" outlineLevel="1" x14ac:dyDescent="0.3">
      <c r="F47" s="46" t="s">
        <v>259</v>
      </c>
    </row>
    <row r="48" spans="2:9" ht="13" hidden="1" outlineLevel="1" x14ac:dyDescent="0.3">
      <c r="F48" s="50" t="s">
        <v>233</v>
      </c>
      <c r="G48" t="s">
        <v>246</v>
      </c>
    </row>
    <row r="49" spans="6:9" ht="13" hidden="1" outlineLevel="1" x14ac:dyDescent="0.3">
      <c r="F49" s="51" t="s">
        <v>22</v>
      </c>
      <c r="G49" s="63">
        <v>1042</v>
      </c>
      <c r="H49"/>
    </row>
    <row r="50" spans="6:9" ht="13" hidden="1" outlineLevel="1" x14ac:dyDescent="0.3">
      <c r="F50" s="72" t="s">
        <v>240</v>
      </c>
      <c r="G50" s="63">
        <v>411</v>
      </c>
      <c r="H50"/>
      <c r="I50"/>
    </row>
    <row r="51" spans="6:9" ht="13" hidden="1" outlineLevel="1" x14ac:dyDescent="0.3">
      <c r="F51" s="72" t="s">
        <v>245</v>
      </c>
      <c r="G51" s="63">
        <v>365</v>
      </c>
      <c r="H51"/>
      <c r="I51"/>
    </row>
    <row r="52" spans="6:9" ht="13" hidden="1" outlineLevel="1" x14ac:dyDescent="0.3">
      <c r="F52" s="72" t="s">
        <v>242</v>
      </c>
      <c r="G52" s="63">
        <v>141</v>
      </c>
      <c r="H52"/>
      <c r="I52"/>
    </row>
    <row r="53" spans="6:9" ht="13" hidden="1" outlineLevel="1" x14ac:dyDescent="0.3">
      <c r="F53" s="72" t="s">
        <v>235</v>
      </c>
      <c r="G53" s="63">
        <v>125</v>
      </c>
      <c r="H53"/>
      <c r="I53"/>
    </row>
    <row r="54" spans="6:9" ht="13" hidden="1" outlineLevel="1" x14ac:dyDescent="0.3">
      <c r="F54" s="51" t="s">
        <v>19</v>
      </c>
      <c r="G54" s="63">
        <v>3302</v>
      </c>
      <c r="H54"/>
      <c r="I54"/>
    </row>
    <row r="55" spans="6:9" ht="13" hidden="1" outlineLevel="1" x14ac:dyDescent="0.3">
      <c r="F55" s="72" t="s">
        <v>237</v>
      </c>
      <c r="G55" s="63">
        <v>1265</v>
      </c>
      <c r="H55"/>
      <c r="I55"/>
    </row>
    <row r="56" spans="6:9" ht="13" hidden="1" outlineLevel="1" x14ac:dyDescent="0.3">
      <c r="F56" s="72" t="s">
        <v>239</v>
      </c>
      <c r="G56" s="63">
        <v>874</v>
      </c>
      <c r="H56"/>
      <c r="I56"/>
    </row>
    <row r="57" spans="6:9" ht="13" hidden="1" outlineLevel="1" x14ac:dyDescent="0.3">
      <c r="F57" s="72" t="s">
        <v>238</v>
      </c>
      <c r="G57" s="63">
        <v>583</v>
      </c>
      <c r="H57"/>
      <c r="I57"/>
    </row>
    <row r="58" spans="6:9" ht="13" hidden="1" outlineLevel="1" x14ac:dyDescent="0.3">
      <c r="F58" s="72" t="s">
        <v>245</v>
      </c>
      <c r="G58" s="63">
        <v>580</v>
      </c>
      <c r="H58"/>
      <c r="I58"/>
    </row>
    <row r="59" spans="6:9" ht="13" hidden="1" outlineLevel="1" x14ac:dyDescent="0.3">
      <c r="F59" s="51" t="s">
        <v>25</v>
      </c>
      <c r="G59" s="63">
        <v>2421</v>
      </c>
      <c r="H59"/>
      <c r="I59"/>
    </row>
    <row r="60" spans="6:9" ht="13" hidden="1" outlineLevel="1" x14ac:dyDescent="0.3">
      <c r="F60" s="72" t="s">
        <v>240</v>
      </c>
      <c r="G60" s="63">
        <v>824</v>
      </c>
      <c r="H60"/>
      <c r="I60"/>
    </row>
    <row r="61" spans="6:9" ht="13" hidden="1" outlineLevel="1" x14ac:dyDescent="0.3">
      <c r="F61" s="72" t="s">
        <v>243</v>
      </c>
      <c r="G61" s="63">
        <v>591</v>
      </c>
      <c r="H61"/>
      <c r="I61"/>
    </row>
    <row r="62" spans="6:9" ht="13" hidden="1" outlineLevel="1" x14ac:dyDescent="0.3">
      <c r="F62" s="72" t="s">
        <v>242</v>
      </c>
      <c r="G62" s="63">
        <v>506</v>
      </c>
      <c r="I62"/>
    </row>
    <row r="63" spans="6:9" ht="13" hidden="1" outlineLevel="1" x14ac:dyDescent="0.3">
      <c r="F63" s="72" t="s">
        <v>237</v>
      </c>
      <c r="G63" s="63">
        <v>500</v>
      </c>
    </row>
    <row r="64" spans="6:9" ht="13" hidden="1" outlineLevel="1" x14ac:dyDescent="0.3">
      <c r="F64" s="51" t="s">
        <v>232</v>
      </c>
      <c r="G64" s="63">
        <v>6765</v>
      </c>
    </row>
    <row r="65" spans="2:11" hidden="1" outlineLevel="1" x14ac:dyDescent="0.25"/>
    <row r="66" spans="2:11" hidden="1" outlineLevel="1" x14ac:dyDescent="0.25"/>
    <row r="67" spans="2:11" hidden="1" outlineLevel="1" x14ac:dyDescent="0.25"/>
    <row r="68" spans="2:11" hidden="1" outlineLevel="1" x14ac:dyDescent="0.25"/>
    <row r="69" spans="2:11" hidden="1" outlineLevel="1" x14ac:dyDescent="0.25"/>
    <row r="70" spans="2:11" hidden="1" outlineLevel="1" x14ac:dyDescent="0.25"/>
    <row r="71" spans="2:11" ht="18.5" collapsed="1" x14ac:dyDescent="0.45">
      <c r="B71" s="5" t="s">
        <v>284</v>
      </c>
    </row>
    <row r="72" spans="2:11" hidden="1" outlineLevel="1" x14ac:dyDescent="0.25"/>
    <row r="73" spans="2:11" ht="13" hidden="1" outlineLevel="1" x14ac:dyDescent="0.3">
      <c r="B73"/>
      <c r="C73"/>
      <c r="D73"/>
      <c r="E73"/>
      <c r="F73" s="46" t="s">
        <v>285</v>
      </c>
      <c r="G73"/>
      <c r="H73"/>
    </row>
    <row r="74" spans="2:11" ht="13" hidden="1" outlineLevel="1" x14ac:dyDescent="0.3">
      <c r="B74"/>
      <c r="C74"/>
      <c r="D74"/>
      <c r="E74"/>
      <c r="F74" s="46" t="s">
        <v>259</v>
      </c>
      <c r="G74"/>
      <c r="H74"/>
      <c r="I74"/>
      <c r="J74"/>
      <c r="K74"/>
    </row>
    <row r="75" spans="2:11" ht="13" hidden="1" outlineLevel="1" x14ac:dyDescent="0.3">
      <c r="B75"/>
      <c r="C75"/>
      <c r="D75"/>
      <c r="E75"/>
      <c r="F75" s="50" t="s">
        <v>251</v>
      </c>
      <c r="G75" t="s">
        <v>234</v>
      </c>
      <c r="H75"/>
      <c r="I75"/>
      <c r="J75"/>
      <c r="K75"/>
    </row>
    <row r="76" spans="2:11" ht="13" hidden="1" outlineLevel="1" x14ac:dyDescent="0.3">
      <c r="B76"/>
      <c r="C76"/>
      <c r="D76"/>
      <c r="E76"/>
      <c r="F76" s="51" t="s">
        <v>17</v>
      </c>
      <c r="G76" s="63">
        <v>3016</v>
      </c>
      <c r="H76"/>
      <c r="I76"/>
      <c r="J76"/>
      <c r="K76"/>
    </row>
    <row r="77" spans="2:11" ht="13" hidden="1" outlineLevel="1" x14ac:dyDescent="0.3">
      <c r="B77"/>
      <c r="C77"/>
      <c r="D77"/>
      <c r="E77"/>
      <c r="F77" s="72" t="s">
        <v>245</v>
      </c>
      <c r="G77" s="63">
        <v>3016</v>
      </c>
      <c r="H77"/>
      <c r="I77"/>
      <c r="J77"/>
      <c r="K77"/>
    </row>
    <row r="78" spans="2:11" ht="13" hidden="1" outlineLevel="1" x14ac:dyDescent="0.3">
      <c r="B78"/>
      <c r="C78"/>
      <c r="D78"/>
      <c r="E78"/>
      <c r="F78" s="51" t="s">
        <v>21</v>
      </c>
      <c r="G78" s="63">
        <v>2856.5</v>
      </c>
      <c r="H78"/>
      <c r="I78"/>
      <c r="J78"/>
      <c r="K78"/>
    </row>
    <row r="79" spans="2:11" ht="13" hidden="1" outlineLevel="1" x14ac:dyDescent="0.3">
      <c r="B79"/>
      <c r="C79"/>
      <c r="D79"/>
      <c r="E79"/>
      <c r="F79" s="72" t="s">
        <v>245</v>
      </c>
      <c r="G79" s="63">
        <v>2856.5</v>
      </c>
      <c r="H79"/>
      <c r="I79"/>
      <c r="J79"/>
      <c r="K79"/>
    </row>
    <row r="80" spans="2:11" ht="13" hidden="1" outlineLevel="1" x14ac:dyDescent="0.3">
      <c r="B80"/>
      <c r="C80"/>
      <c r="D80"/>
      <c r="E80"/>
      <c r="F80" s="51" t="s">
        <v>27</v>
      </c>
      <c r="G80" s="63">
        <v>2845.59</v>
      </c>
      <c r="H80"/>
      <c r="I80"/>
      <c r="J80"/>
      <c r="K80"/>
    </row>
    <row r="81" spans="2:11" ht="13" hidden="1" outlineLevel="1" x14ac:dyDescent="0.3">
      <c r="B81"/>
      <c r="C81"/>
      <c r="D81"/>
      <c r="E81"/>
      <c r="F81" s="72" t="s">
        <v>242</v>
      </c>
      <c r="G81" s="63">
        <v>409.59000000000003</v>
      </c>
      <c r="H81"/>
      <c r="I81"/>
      <c r="J81"/>
      <c r="K81"/>
    </row>
    <row r="82" spans="2:11" ht="13" hidden="1" outlineLevel="1" x14ac:dyDescent="0.3">
      <c r="B82"/>
      <c r="C82"/>
      <c r="D82"/>
      <c r="E82"/>
      <c r="F82" s="72" t="s">
        <v>245</v>
      </c>
      <c r="G82" s="63">
        <v>2436</v>
      </c>
      <c r="H82"/>
      <c r="I82"/>
      <c r="J82"/>
      <c r="K82"/>
    </row>
    <row r="83" spans="2:11" ht="13" hidden="1" outlineLevel="1" x14ac:dyDescent="0.3">
      <c r="B83"/>
      <c r="C83"/>
      <c r="D83"/>
      <c r="E83"/>
      <c r="F83" s="51" t="s">
        <v>35</v>
      </c>
      <c r="G83" s="63">
        <v>2628.2699999999995</v>
      </c>
      <c r="H83"/>
      <c r="I83"/>
      <c r="J83"/>
      <c r="K83"/>
    </row>
    <row r="84" spans="2:11" ht="13" hidden="1" outlineLevel="1" x14ac:dyDescent="0.3">
      <c r="B84"/>
      <c r="C84"/>
      <c r="D84"/>
      <c r="E84"/>
      <c r="F84" s="72" t="s">
        <v>240</v>
      </c>
      <c r="G84" s="63">
        <v>490.5</v>
      </c>
      <c r="H84"/>
      <c r="I84"/>
      <c r="J84"/>
      <c r="K84"/>
    </row>
    <row r="85" spans="2:11" ht="13" hidden="1" outlineLevel="1" x14ac:dyDescent="0.3">
      <c r="B85"/>
      <c r="C85"/>
      <c r="D85"/>
      <c r="E85"/>
      <c r="F85" s="72" t="s">
        <v>242</v>
      </c>
      <c r="G85" s="63">
        <v>1928.07</v>
      </c>
      <c r="H85"/>
      <c r="I85"/>
      <c r="J85"/>
      <c r="K85"/>
    </row>
    <row r="86" spans="2:11" ht="13" hidden="1" outlineLevel="1" x14ac:dyDescent="0.3">
      <c r="B86"/>
      <c r="C86"/>
      <c r="D86"/>
      <c r="E86"/>
      <c r="F86" s="72" t="s">
        <v>244</v>
      </c>
      <c r="G86" s="63">
        <v>209.70000000000002</v>
      </c>
      <c r="H86"/>
      <c r="I86"/>
      <c r="J86"/>
      <c r="K86"/>
    </row>
    <row r="87" spans="2:11" ht="13" hidden="1" outlineLevel="1" x14ac:dyDescent="0.3">
      <c r="B87"/>
      <c r="C87"/>
      <c r="D87"/>
      <c r="E87"/>
      <c r="F87" s="51" t="s">
        <v>24</v>
      </c>
      <c r="G87" s="63">
        <v>2552</v>
      </c>
      <c r="H87"/>
      <c r="I87"/>
      <c r="J87"/>
      <c r="K87"/>
    </row>
    <row r="88" spans="2:11" ht="13" hidden="1" outlineLevel="1" x14ac:dyDescent="0.3">
      <c r="B88"/>
      <c r="C88"/>
      <c r="D88"/>
      <c r="E88"/>
      <c r="F88" s="72" t="s">
        <v>245</v>
      </c>
      <c r="G88" s="63">
        <v>2552</v>
      </c>
      <c r="H88"/>
      <c r="I88"/>
      <c r="J88"/>
      <c r="K88"/>
    </row>
    <row r="89" spans="2:11" ht="13" hidden="1" outlineLevel="1" x14ac:dyDescent="0.3">
      <c r="B89"/>
      <c r="C89"/>
      <c r="D89"/>
      <c r="E89"/>
      <c r="F89" s="51" t="s">
        <v>232</v>
      </c>
      <c r="G89" s="63">
        <v>13898.36</v>
      </c>
      <c r="H89"/>
      <c r="I89"/>
      <c r="J89"/>
      <c r="K89"/>
    </row>
    <row r="90" spans="2:11" ht="13" hidden="1" outlineLevel="1" x14ac:dyDescent="0.3">
      <c r="B90"/>
      <c r="C90"/>
      <c r="D90"/>
      <c r="E90"/>
      <c r="F90"/>
      <c r="G90"/>
      <c r="H90"/>
      <c r="I90"/>
      <c r="J90"/>
      <c r="K90"/>
    </row>
    <row r="91" spans="2:11" ht="13" hidden="1" outlineLevel="1" x14ac:dyDescent="0.3">
      <c r="I91"/>
      <c r="J91"/>
      <c r="K91"/>
    </row>
    <row r="92" spans="2:11" ht="13" hidden="1" outlineLevel="1" x14ac:dyDescent="0.3">
      <c r="B92"/>
      <c r="C92"/>
      <c r="D92"/>
      <c r="E92"/>
      <c r="F92"/>
      <c r="G92"/>
      <c r="H92"/>
      <c r="I92"/>
      <c r="J92"/>
      <c r="K92"/>
    </row>
    <row r="93" spans="2:11" hidden="1" outlineLevel="1" x14ac:dyDescent="0.25"/>
    <row r="94" spans="2:11" ht="13" hidden="1" outlineLevel="1" x14ac:dyDescent="0.3">
      <c r="F94"/>
      <c r="G94"/>
      <c r="H94"/>
      <c r="I94"/>
      <c r="J94"/>
      <c r="K94"/>
    </row>
    <row r="95" spans="2:11" collapsed="1" x14ac:dyDescent="0.25"/>
    <row r="96" spans="2:11" ht="13" x14ac:dyDescent="0.3">
      <c r="F96" s="46"/>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9225" r:id="rId8" name="Button 9">
              <controlPr defaultSize="0" print="0" autoFill="0" autoPict="0" macro="[0]!ThisWorkbook.Formatting_Send_To_Answer_1">
                <anchor moveWithCells="1" sizeWithCells="1">
                  <from>
                    <xdr:col>11</xdr:col>
                    <xdr:colOff>336550</xdr:colOff>
                    <xdr:row>11</xdr:row>
                    <xdr:rowOff>50800</xdr:rowOff>
                  </from>
                  <to>
                    <xdr:col>14</xdr:col>
                    <xdr:colOff>457200</xdr:colOff>
                    <xdr:row>14</xdr:row>
                    <xdr:rowOff>107950</xdr:rowOff>
                  </to>
                </anchor>
              </controlPr>
            </control>
          </mc:Choice>
        </mc:AlternateContent>
        <mc:AlternateContent xmlns:mc="http://schemas.openxmlformats.org/markup-compatibility/2006">
          <mc:Choice Requires="x14">
            <control shapeId="9226" r:id="rId9" name="Button 10">
              <controlPr defaultSize="0" print="0" autoFill="0" autoPict="0" macro="[0]!ThisWorkbook.Formatting_Send_To_Answer_2">
                <anchor moveWithCells="1" sizeWithCells="1">
                  <from>
                    <xdr:col>11</xdr:col>
                    <xdr:colOff>381000</xdr:colOff>
                    <xdr:row>25</xdr:row>
                    <xdr:rowOff>69850</xdr:rowOff>
                  </from>
                  <to>
                    <xdr:col>14</xdr:col>
                    <xdr:colOff>527050</xdr:colOff>
                    <xdr:row>28</xdr:row>
                    <xdr:rowOff>107950</xdr:rowOff>
                  </to>
                </anchor>
              </controlPr>
            </control>
          </mc:Choice>
        </mc:AlternateContent>
        <mc:AlternateContent xmlns:mc="http://schemas.openxmlformats.org/markup-compatibility/2006">
          <mc:Choice Requires="x14">
            <control shapeId="9227" r:id="rId10" name="Button 11">
              <controlPr defaultSize="0" print="0" autoFill="0" autoPict="0" macro="[0]!ThisWorkbook.Formatting_Send_To_Answer_3">
                <anchor moveWithCells="1" sizeWithCells="1">
                  <from>
                    <xdr:col>11</xdr:col>
                    <xdr:colOff>450850</xdr:colOff>
                    <xdr:row>47</xdr:row>
                    <xdr:rowOff>88900</xdr:rowOff>
                  </from>
                  <to>
                    <xdr:col>15</xdr:col>
                    <xdr:colOff>50800</xdr:colOff>
                    <xdr:row>50</xdr:row>
                    <xdr:rowOff>114300</xdr:rowOff>
                  </to>
                </anchor>
              </controlPr>
            </control>
          </mc:Choice>
        </mc:AlternateContent>
        <mc:AlternateContent xmlns:mc="http://schemas.openxmlformats.org/markup-compatibility/2006">
          <mc:Choice Requires="x14">
            <control shapeId="9228" r:id="rId11" name="Button 12">
              <controlPr defaultSize="0" print="0" autoFill="0" autoPict="0" macro="[0]!ThisWorkbook.Formatting_Send_To_Answer_4">
                <anchor moveWithCells="1" sizeWithCells="1">
                  <from>
                    <xdr:col>11</xdr:col>
                    <xdr:colOff>431800</xdr:colOff>
                    <xdr:row>73</xdr:row>
                    <xdr:rowOff>152400</xdr:rowOff>
                  </from>
                  <to>
                    <xdr:col>15</xdr:col>
                    <xdr:colOff>31750</xdr:colOff>
                    <xdr:row>77</xdr:row>
                    <xdr:rowOff>31750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S193"/>
  <sheetViews>
    <sheetView showGridLines="0" topLeftCell="A58" zoomScale="80" workbookViewId="0">
      <selection activeCell="M76" sqref="M76"/>
    </sheetView>
  </sheetViews>
  <sheetFormatPr defaultColWidth="9.33203125" defaultRowHeight="12.5" outlineLevelRow="1" x14ac:dyDescent="0.25"/>
  <cols>
    <col min="1" max="5" width="9.33203125" style="2"/>
    <col min="6" max="6" width="31.33203125" style="2" customWidth="1"/>
    <col min="7" max="7" width="28.109375" style="2" customWidth="1"/>
    <col min="8" max="8" width="20.77734375" style="2" bestFit="1" customWidth="1"/>
    <col min="9" max="9" width="14.33203125" style="2" bestFit="1" customWidth="1"/>
    <col min="10" max="10" width="15.77734375" style="2" bestFit="1" customWidth="1"/>
    <col min="11" max="11" width="9.33203125" style="2" customWidth="1"/>
    <col min="12" max="12" width="9.33203125" style="2" bestFit="1" customWidth="1"/>
    <col min="13" max="16" width="9.33203125" style="2"/>
    <col min="17" max="17" width="18.6640625" style="2" customWidth="1"/>
    <col min="18" max="18" width="20.77734375" style="2" customWidth="1"/>
    <col min="19" max="19" width="20.77734375" style="2" bestFit="1" customWidth="1"/>
    <col min="20" max="16384" width="9.33203125" style="2"/>
  </cols>
  <sheetData>
    <row r="1" spans="1:18" ht="13" x14ac:dyDescent="0.3">
      <c r="A1" s="3" t="str">
        <f>Introduction!A1</f>
        <v>Problem Solving with Excel</v>
      </c>
      <c r="E1" s="2" t="s">
        <v>321</v>
      </c>
    </row>
    <row r="2" spans="1:18" ht="13" x14ac:dyDescent="0.3">
      <c r="A2" s="3" t="str">
        <f>Introduction!A2</f>
        <v>Week 3</v>
      </c>
    </row>
    <row r="3" spans="1:18" ht="13" x14ac:dyDescent="0.3">
      <c r="A3" s="3" t="str">
        <f>Introduction!A3</f>
        <v>Pivot Tables</v>
      </c>
    </row>
    <row r="4" spans="1:18" ht="13" x14ac:dyDescent="0.3">
      <c r="A4" s="3" t="str">
        <f ca="1">MID(CELL("Filename",I7),SEARCH("]",CELL("Filename",I7),1)+1,100)</f>
        <v>Optional Student Exercise (ANS)</v>
      </c>
    </row>
    <row r="5" spans="1:18" x14ac:dyDescent="0.25">
      <c r="P5" s="6"/>
    </row>
    <row r="6" spans="1:18" ht="13" x14ac:dyDescent="0.3">
      <c r="Q6"/>
      <c r="R6"/>
    </row>
    <row r="7" spans="1:18" ht="18.5" x14ac:dyDescent="0.45">
      <c r="B7" s="5" t="s">
        <v>318</v>
      </c>
    </row>
    <row r="8" spans="1:18" ht="13" outlineLevel="1" x14ac:dyDescent="0.3">
      <c r="F8" s="46" t="s">
        <v>280</v>
      </c>
      <c r="G8"/>
      <c r="K8"/>
      <c r="L8"/>
      <c r="M8"/>
    </row>
    <row r="9" spans="1:18" ht="13" outlineLevel="1" x14ac:dyDescent="0.3">
      <c r="F9"/>
      <c r="G9"/>
      <c r="H9"/>
      <c r="I9"/>
      <c r="K9"/>
      <c r="L9"/>
      <c r="M9"/>
    </row>
    <row r="10" spans="1:18" ht="13" outlineLevel="1" x14ac:dyDescent="0.3">
      <c r="F10" s="50" t="s">
        <v>8</v>
      </c>
      <c r="G10" t="s">
        <v>234</v>
      </c>
      <c r="H10"/>
      <c r="I10"/>
      <c r="K10"/>
      <c r="L10"/>
      <c r="M10"/>
    </row>
    <row r="11" spans="1:18" ht="13" outlineLevel="1" x14ac:dyDescent="0.3">
      <c r="F11" s="51" t="s">
        <v>17</v>
      </c>
      <c r="G11" s="53">
        <v>3016</v>
      </c>
      <c r="H11"/>
      <c r="I11"/>
      <c r="J11"/>
      <c r="K11"/>
      <c r="L11"/>
      <c r="M11"/>
    </row>
    <row r="12" spans="1:18" ht="13" outlineLevel="1" x14ac:dyDescent="0.3">
      <c r="F12"/>
      <c r="G12"/>
      <c r="H12"/>
      <c r="I12"/>
      <c r="J12"/>
      <c r="K12"/>
      <c r="L12"/>
      <c r="M12"/>
    </row>
    <row r="13" spans="1:18" ht="13" outlineLevel="1" x14ac:dyDescent="0.3">
      <c r="J13"/>
      <c r="K13"/>
      <c r="L13"/>
      <c r="M13"/>
    </row>
    <row r="14" spans="1:18" ht="13" outlineLevel="1" x14ac:dyDescent="0.3">
      <c r="J14"/>
      <c r="K14"/>
      <c r="L14"/>
      <c r="M14"/>
    </row>
    <row r="15" spans="1:18" ht="13" outlineLevel="1" x14ac:dyDescent="0.3">
      <c r="F15"/>
      <c r="G15"/>
      <c r="H15"/>
      <c r="I15"/>
      <c r="J15"/>
      <c r="K15"/>
      <c r="L15"/>
      <c r="M15"/>
      <c r="Q15"/>
      <c r="R15"/>
    </row>
    <row r="16" spans="1:18" ht="13" outlineLevel="1" x14ac:dyDescent="0.3">
      <c r="F16"/>
      <c r="G16"/>
      <c r="H16"/>
      <c r="I16"/>
      <c r="J16"/>
      <c r="K16"/>
      <c r="L16"/>
      <c r="M16"/>
      <c r="Q16"/>
      <c r="R16"/>
    </row>
    <row r="17" spans="2:18" ht="13" outlineLevel="1" x14ac:dyDescent="0.3">
      <c r="F17"/>
      <c r="G17"/>
      <c r="H17"/>
      <c r="I17"/>
      <c r="J17"/>
      <c r="K17"/>
      <c r="L17"/>
      <c r="M17"/>
      <c r="Q17"/>
      <c r="R17"/>
    </row>
    <row r="18" spans="2:18" ht="13" outlineLevel="1" x14ac:dyDescent="0.3">
      <c r="F18"/>
      <c r="G18"/>
      <c r="H18"/>
      <c r="I18"/>
      <c r="J18"/>
      <c r="K18"/>
      <c r="L18"/>
      <c r="M18"/>
      <c r="Q18"/>
      <c r="R18"/>
    </row>
    <row r="19" spans="2:18" ht="13" outlineLevel="1" x14ac:dyDescent="0.3">
      <c r="F19"/>
      <c r="G19"/>
      <c r="H19"/>
      <c r="I19"/>
      <c r="J19"/>
      <c r="K19"/>
      <c r="L19"/>
      <c r="M19"/>
      <c r="Q19"/>
      <c r="R19"/>
    </row>
    <row r="20" spans="2:18" ht="13" outlineLevel="1" x14ac:dyDescent="0.3">
      <c r="K20"/>
      <c r="L20"/>
      <c r="M20"/>
      <c r="Q20"/>
      <c r="R20"/>
    </row>
    <row r="21" spans="2:18" ht="13" outlineLevel="1" x14ac:dyDescent="0.3">
      <c r="K21"/>
      <c r="L21"/>
      <c r="M21"/>
      <c r="Q21"/>
      <c r="R21"/>
    </row>
    <row r="22" spans="2:18" ht="13" outlineLevel="1" x14ac:dyDescent="0.3">
      <c r="K22"/>
      <c r="L22"/>
      <c r="M22"/>
      <c r="Q22"/>
      <c r="R22"/>
    </row>
    <row r="23" spans="2:18" ht="13" outlineLevel="1" x14ac:dyDescent="0.3">
      <c r="K23"/>
      <c r="L23"/>
      <c r="M23"/>
      <c r="Q23"/>
      <c r="R23"/>
    </row>
    <row r="24" spans="2:18" ht="18.5" x14ac:dyDescent="0.45">
      <c r="B24" s="5" t="s">
        <v>322</v>
      </c>
      <c r="K24"/>
      <c r="L24"/>
      <c r="M24"/>
      <c r="Q24"/>
      <c r="R24"/>
    </row>
    <row r="25" spans="2:18" ht="13" outlineLevel="1" x14ac:dyDescent="0.3">
      <c r="F25" s="46" t="s">
        <v>281</v>
      </c>
      <c r="G25"/>
      <c r="H25"/>
      <c r="I25"/>
      <c r="K25"/>
      <c r="L25"/>
      <c r="M25"/>
    </row>
    <row r="26" spans="2:18" ht="13" outlineLevel="1" x14ac:dyDescent="0.3">
      <c r="F26" s="50" t="s">
        <v>8</v>
      </c>
      <c r="G26" t="s">
        <v>80</v>
      </c>
      <c r="H26"/>
      <c r="I26"/>
    </row>
    <row r="27" spans="2:18" ht="13" outlineLevel="1" x14ac:dyDescent="0.3">
      <c r="F27"/>
      <c r="G27"/>
      <c r="H27"/>
      <c r="I27"/>
    </row>
    <row r="28" spans="2:18" ht="13" outlineLevel="1" x14ac:dyDescent="0.3">
      <c r="F28" s="50" t="s">
        <v>249</v>
      </c>
      <c r="G28" t="s">
        <v>234</v>
      </c>
      <c r="H28"/>
      <c r="I28"/>
    </row>
    <row r="29" spans="2:18" ht="13" outlineLevel="1" x14ac:dyDescent="0.3">
      <c r="F29" s="51" t="s">
        <v>79</v>
      </c>
      <c r="G29" s="56">
        <v>949.05000000000007</v>
      </c>
      <c r="H29"/>
      <c r="I29"/>
    </row>
    <row r="30" spans="2:18" ht="13" outlineLevel="1" x14ac:dyDescent="0.3">
      <c r="F30" s="51" t="s">
        <v>106</v>
      </c>
      <c r="G30" s="56">
        <v>682.5</v>
      </c>
      <c r="H30"/>
      <c r="I30"/>
    </row>
    <row r="31" spans="2:18" ht="13" outlineLevel="1" x14ac:dyDescent="0.3">
      <c r="F31" s="51" t="s">
        <v>157</v>
      </c>
      <c r="G31" s="56">
        <v>474.5</v>
      </c>
      <c r="H31"/>
      <c r="I31"/>
      <c r="Q31"/>
      <c r="R31"/>
    </row>
    <row r="32" spans="2:18" ht="13" outlineLevel="1" x14ac:dyDescent="0.3">
      <c r="F32" s="51" t="s">
        <v>232</v>
      </c>
      <c r="G32" s="56">
        <v>2106.0500000000002</v>
      </c>
      <c r="H32"/>
      <c r="I32"/>
      <c r="Q32"/>
      <c r="R32"/>
    </row>
    <row r="33" spans="2:18" ht="13" outlineLevel="1" x14ac:dyDescent="0.3">
      <c r="I33"/>
      <c r="Q33"/>
      <c r="R33"/>
    </row>
    <row r="34" spans="2:18" ht="13" outlineLevel="1" x14ac:dyDescent="0.3">
      <c r="I34"/>
      <c r="Q34"/>
      <c r="R34"/>
    </row>
    <row r="35" spans="2:18" ht="13" outlineLevel="1" x14ac:dyDescent="0.3">
      <c r="F35"/>
      <c r="G35"/>
      <c r="H35"/>
      <c r="I35"/>
      <c r="Q35"/>
      <c r="R35"/>
    </row>
    <row r="36" spans="2:18" ht="13" outlineLevel="1" x14ac:dyDescent="0.3">
      <c r="F36"/>
      <c r="G36"/>
      <c r="H36"/>
      <c r="I36"/>
      <c r="Q36"/>
      <c r="R36"/>
    </row>
    <row r="37" spans="2:18" ht="13" outlineLevel="1" x14ac:dyDescent="0.3">
      <c r="F37"/>
      <c r="G37"/>
      <c r="H37"/>
      <c r="I37"/>
      <c r="Q37"/>
      <c r="R37"/>
    </row>
    <row r="38" spans="2:18" ht="13" outlineLevel="1" x14ac:dyDescent="0.3">
      <c r="F38"/>
      <c r="G38"/>
      <c r="H38"/>
      <c r="I38"/>
      <c r="Q38"/>
      <c r="R38"/>
    </row>
    <row r="39" spans="2:18" ht="13" outlineLevel="1" x14ac:dyDescent="0.3">
      <c r="Q39"/>
      <c r="R39"/>
    </row>
    <row r="40" spans="2:18" ht="13" outlineLevel="1" x14ac:dyDescent="0.3">
      <c r="Q40"/>
      <c r="R40"/>
    </row>
    <row r="41" spans="2:18" ht="13" outlineLevel="1" x14ac:dyDescent="0.3">
      <c r="Q41"/>
      <c r="R41"/>
    </row>
    <row r="42" spans="2:18" ht="13" outlineLevel="1" x14ac:dyDescent="0.3">
      <c r="Q42"/>
      <c r="R42"/>
    </row>
    <row r="43" spans="2:18" ht="13" outlineLevel="1" x14ac:dyDescent="0.3">
      <c r="Q43"/>
      <c r="R43"/>
    </row>
    <row r="44" spans="2:18" ht="13" outlineLevel="1" x14ac:dyDescent="0.3">
      <c r="Q44"/>
      <c r="R44"/>
    </row>
    <row r="45" spans="2:18" ht="18.5" x14ac:dyDescent="0.45">
      <c r="B45" s="5" t="s">
        <v>320</v>
      </c>
      <c r="Q45"/>
      <c r="R45"/>
    </row>
    <row r="46" spans="2:18" ht="13" outlineLevel="1" x14ac:dyDescent="0.3">
      <c r="F46" s="46" t="s">
        <v>283</v>
      </c>
      <c r="Q46"/>
      <c r="R46"/>
    </row>
    <row r="47" spans="2:18" ht="13" outlineLevel="1" x14ac:dyDescent="0.3">
      <c r="F47" s="46" t="s">
        <v>259</v>
      </c>
      <c r="Q47"/>
      <c r="R47"/>
    </row>
    <row r="48" spans="2:18" ht="13" outlineLevel="1" x14ac:dyDescent="0.3">
      <c r="F48" s="50" t="s">
        <v>11</v>
      </c>
      <c r="G48" s="50" t="s">
        <v>10</v>
      </c>
      <c r="H48" t="s">
        <v>246</v>
      </c>
      <c r="I48"/>
      <c r="Q48"/>
      <c r="R48"/>
    </row>
    <row r="49" spans="6:19" ht="13" outlineLevel="1" x14ac:dyDescent="0.3">
      <c r="F49" t="s">
        <v>22</v>
      </c>
      <c r="G49" t="s">
        <v>240</v>
      </c>
      <c r="H49" s="54">
        <v>411</v>
      </c>
      <c r="I49"/>
      <c r="Q49"/>
      <c r="R49"/>
    </row>
    <row r="50" spans="6:19" ht="13" outlineLevel="1" x14ac:dyDescent="0.3">
      <c r="F50" t="s">
        <v>22</v>
      </c>
      <c r="G50" t="s">
        <v>245</v>
      </c>
      <c r="H50" s="54">
        <v>365</v>
      </c>
      <c r="I50"/>
      <c r="S50"/>
    </row>
    <row r="51" spans="6:19" ht="13" outlineLevel="1" x14ac:dyDescent="0.3">
      <c r="F51" t="s">
        <v>22</v>
      </c>
      <c r="G51" t="s">
        <v>242</v>
      </c>
      <c r="H51" s="54">
        <v>141</v>
      </c>
      <c r="I51"/>
      <c r="S51"/>
    </row>
    <row r="52" spans="6:19" ht="13" outlineLevel="1" x14ac:dyDescent="0.3">
      <c r="F52" t="s">
        <v>22</v>
      </c>
      <c r="G52" t="s">
        <v>235</v>
      </c>
      <c r="H52" s="54">
        <v>125</v>
      </c>
      <c r="I52"/>
      <c r="S52"/>
    </row>
    <row r="53" spans="6:19" ht="13" outlineLevel="1" x14ac:dyDescent="0.3">
      <c r="F53" t="s">
        <v>19</v>
      </c>
      <c r="G53" t="s">
        <v>237</v>
      </c>
      <c r="H53" s="54">
        <v>1265</v>
      </c>
      <c r="I53"/>
      <c r="S53"/>
    </row>
    <row r="54" spans="6:19" ht="13" outlineLevel="1" x14ac:dyDescent="0.3">
      <c r="F54" t="s">
        <v>19</v>
      </c>
      <c r="G54" t="s">
        <v>239</v>
      </c>
      <c r="H54" s="54">
        <v>874</v>
      </c>
      <c r="I54"/>
      <c r="S54"/>
    </row>
    <row r="55" spans="6:19" ht="13" outlineLevel="1" x14ac:dyDescent="0.3">
      <c r="F55" t="s">
        <v>19</v>
      </c>
      <c r="G55" t="s">
        <v>238</v>
      </c>
      <c r="H55" s="54">
        <v>583</v>
      </c>
      <c r="I55"/>
      <c r="Q55"/>
      <c r="R55"/>
      <c r="S55"/>
    </row>
    <row r="56" spans="6:19" ht="13" outlineLevel="1" x14ac:dyDescent="0.3">
      <c r="F56" t="s">
        <v>19</v>
      </c>
      <c r="G56" t="s">
        <v>245</v>
      </c>
      <c r="H56" s="54">
        <v>580</v>
      </c>
      <c r="I56"/>
      <c r="Q56"/>
      <c r="R56"/>
      <c r="S56"/>
    </row>
    <row r="57" spans="6:19" ht="13" outlineLevel="1" x14ac:dyDescent="0.3">
      <c r="F57" t="s">
        <v>25</v>
      </c>
      <c r="G57" t="s">
        <v>240</v>
      </c>
      <c r="H57" s="54">
        <v>824</v>
      </c>
      <c r="I57"/>
      <c r="Q57"/>
      <c r="R57"/>
      <c r="S57"/>
    </row>
    <row r="58" spans="6:19" ht="13" outlineLevel="1" x14ac:dyDescent="0.3">
      <c r="F58" t="s">
        <v>25</v>
      </c>
      <c r="G58" t="s">
        <v>243</v>
      </c>
      <c r="H58" s="54">
        <v>591</v>
      </c>
      <c r="I58"/>
      <c r="Q58"/>
      <c r="R58"/>
      <c r="S58"/>
    </row>
    <row r="59" spans="6:19" ht="13" outlineLevel="1" x14ac:dyDescent="0.3">
      <c r="F59" t="s">
        <v>25</v>
      </c>
      <c r="G59" t="s">
        <v>242</v>
      </c>
      <c r="H59" s="54">
        <v>506</v>
      </c>
      <c r="I59"/>
      <c r="Q59"/>
      <c r="R59"/>
      <c r="S59"/>
    </row>
    <row r="60" spans="6:19" ht="13" outlineLevel="1" x14ac:dyDescent="0.3">
      <c r="F60" t="s">
        <v>25</v>
      </c>
      <c r="G60" t="s">
        <v>237</v>
      </c>
      <c r="H60" s="54">
        <v>500</v>
      </c>
      <c r="I60"/>
      <c r="Q60"/>
      <c r="R60"/>
      <c r="S60"/>
    </row>
    <row r="61" spans="6:19" ht="13" outlineLevel="1" x14ac:dyDescent="0.3">
      <c r="F61"/>
      <c r="G61"/>
      <c r="Q61"/>
      <c r="R61"/>
      <c r="S61"/>
    </row>
    <row r="62" spans="6:19" ht="13" outlineLevel="1" x14ac:dyDescent="0.3">
      <c r="Q62"/>
      <c r="R62"/>
    </row>
    <row r="63" spans="6:19" ht="13" outlineLevel="1" x14ac:dyDescent="0.3">
      <c r="Q63"/>
      <c r="R63"/>
    </row>
    <row r="64" spans="6:19" ht="13" outlineLevel="1" x14ac:dyDescent="0.3">
      <c r="Q64"/>
      <c r="R64"/>
    </row>
    <row r="65" spans="2:18" ht="13" outlineLevel="1" x14ac:dyDescent="0.3">
      <c r="Q65"/>
      <c r="R65"/>
    </row>
    <row r="66" spans="2:18" ht="13" outlineLevel="1" x14ac:dyDescent="0.3">
      <c r="Q66"/>
      <c r="R66"/>
    </row>
    <row r="67" spans="2:18" ht="13" outlineLevel="1" x14ac:dyDescent="0.3">
      <c r="Q67"/>
      <c r="R67"/>
    </row>
    <row r="68" spans="2:18" ht="13" outlineLevel="1" x14ac:dyDescent="0.3">
      <c r="Q68"/>
      <c r="R68"/>
    </row>
    <row r="69" spans="2:18" ht="13" outlineLevel="1" x14ac:dyDescent="0.3">
      <c r="Q69"/>
      <c r="R69"/>
    </row>
    <row r="70" spans="2:18" ht="13" outlineLevel="1" x14ac:dyDescent="0.3">
      <c r="Q70"/>
      <c r="R70"/>
    </row>
    <row r="71" spans="2:18" ht="18.5" x14ac:dyDescent="0.45">
      <c r="B71" s="5" t="s">
        <v>284</v>
      </c>
      <c r="Q71"/>
      <c r="R71"/>
    </row>
    <row r="72" spans="2:18" ht="13" x14ac:dyDescent="0.3">
      <c r="Q72"/>
      <c r="R72"/>
    </row>
    <row r="73" spans="2:18" ht="13" outlineLevel="1" x14ac:dyDescent="0.3">
      <c r="B73"/>
      <c r="C73"/>
      <c r="D73"/>
      <c r="E73"/>
      <c r="F73" s="46" t="s">
        <v>285</v>
      </c>
      <c r="G73"/>
      <c r="H73"/>
      <c r="I73"/>
      <c r="J73"/>
      <c r="K73"/>
      <c r="L73"/>
      <c r="M73"/>
      <c r="N73"/>
      <c r="Q73"/>
      <c r="R73"/>
    </row>
    <row r="74" spans="2:18" ht="13" outlineLevel="1" x14ac:dyDescent="0.3">
      <c r="B74"/>
      <c r="C74"/>
      <c r="D74"/>
      <c r="E74"/>
      <c r="F74" s="46" t="s">
        <v>259</v>
      </c>
      <c r="H74"/>
      <c r="I74"/>
      <c r="J74"/>
      <c r="K74"/>
      <c r="L74"/>
      <c r="M74"/>
      <c r="N74"/>
      <c r="Q74"/>
      <c r="R74"/>
    </row>
    <row r="75" spans="2:18" ht="13" outlineLevel="1" x14ac:dyDescent="0.3">
      <c r="B75"/>
      <c r="C75"/>
      <c r="D75"/>
      <c r="E75"/>
      <c r="H75"/>
      <c r="I75"/>
      <c r="J75"/>
      <c r="K75"/>
      <c r="L75"/>
      <c r="M75"/>
      <c r="N75"/>
      <c r="Q75"/>
      <c r="R75"/>
    </row>
    <row r="76" spans="2:18" ht="13" outlineLevel="1" x14ac:dyDescent="0.3">
      <c r="B76"/>
      <c r="C76"/>
      <c r="D76"/>
      <c r="E76"/>
      <c r="F76" s="50" t="s">
        <v>8</v>
      </c>
      <c r="G76" s="50" t="s">
        <v>10</v>
      </c>
      <c r="H76" t="s">
        <v>234</v>
      </c>
      <c r="I76"/>
      <c r="J76"/>
      <c r="K76"/>
      <c r="L76"/>
      <c r="M76"/>
      <c r="N76"/>
      <c r="Q76"/>
      <c r="R76"/>
    </row>
    <row r="77" spans="2:18" ht="13" outlineLevel="1" x14ac:dyDescent="0.3">
      <c r="B77"/>
      <c r="C77"/>
      <c r="D77"/>
      <c r="E77"/>
      <c r="F77" t="s">
        <v>17</v>
      </c>
      <c r="G77" t="s">
        <v>245</v>
      </c>
      <c r="H77" s="53">
        <v>3016</v>
      </c>
      <c r="I77"/>
      <c r="J77"/>
      <c r="K77"/>
      <c r="L77"/>
      <c r="M77"/>
      <c r="N77"/>
      <c r="Q77"/>
      <c r="R77"/>
    </row>
    <row r="78" spans="2:18" ht="13" outlineLevel="1" x14ac:dyDescent="0.3">
      <c r="B78"/>
      <c r="C78"/>
      <c r="D78"/>
      <c r="E78"/>
      <c r="F78" t="s">
        <v>21</v>
      </c>
      <c r="G78" t="s">
        <v>245</v>
      </c>
      <c r="H78" s="53">
        <v>2856.5</v>
      </c>
      <c r="I78"/>
      <c r="J78"/>
      <c r="K78"/>
      <c r="L78"/>
      <c r="M78"/>
      <c r="N78"/>
      <c r="Q78"/>
      <c r="R78"/>
    </row>
    <row r="79" spans="2:18" ht="13" outlineLevel="1" x14ac:dyDescent="0.3">
      <c r="B79"/>
      <c r="C79"/>
      <c r="D79"/>
      <c r="E79"/>
      <c r="F79" t="s">
        <v>27</v>
      </c>
      <c r="G79" t="s">
        <v>242</v>
      </c>
      <c r="H79" s="53">
        <v>409.59000000000003</v>
      </c>
      <c r="I79"/>
      <c r="J79"/>
      <c r="K79"/>
      <c r="L79"/>
      <c r="M79"/>
      <c r="N79"/>
      <c r="Q79"/>
      <c r="R79"/>
    </row>
    <row r="80" spans="2:18" ht="13" outlineLevel="1" x14ac:dyDescent="0.3">
      <c r="B80"/>
      <c r="C80"/>
      <c r="D80"/>
      <c r="E80"/>
      <c r="F80" t="s">
        <v>27</v>
      </c>
      <c r="G80" t="s">
        <v>245</v>
      </c>
      <c r="H80" s="53">
        <v>2436</v>
      </c>
      <c r="I80"/>
      <c r="J80"/>
      <c r="K80"/>
      <c r="L80"/>
      <c r="M80"/>
      <c r="N80"/>
      <c r="Q80"/>
      <c r="R80"/>
    </row>
    <row r="81" spans="2:19" ht="13" outlineLevel="1" x14ac:dyDescent="0.3">
      <c r="B81"/>
      <c r="C81"/>
      <c r="D81"/>
      <c r="E81"/>
      <c r="F81" t="s">
        <v>35</v>
      </c>
      <c r="G81" t="s">
        <v>240</v>
      </c>
      <c r="H81" s="53">
        <v>490.5</v>
      </c>
      <c r="I81"/>
      <c r="J81"/>
      <c r="K81"/>
      <c r="L81"/>
      <c r="M81"/>
      <c r="N81"/>
      <c r="Q81"/>
      <c r="R81"/>
    </row>
    <row r="82" spans="2:19" ht="13" outlineLevel="1" x14ac:dyDescent="0.3">
      <c r="B82"/>
      <c r="C82"/>
      <c r="D82"/>
      <c r="E82"/>
      <c r="F82" t="s">
        <v>35</v>
      </c>
      <c r="G82" t="s">
        <v>242</v>
      </c>
      <c r="H82" s="53">
        <v>1928.07</v>
      </c>
      <c r="I82"/>
      <c r="J82"/>
      <c r="K82"/>
      <c r="L82"/>
      <c r="M82"/>
      <c r="N82"/>
      <c r="Q82"/>
      <c r="R82"/>
    </row>
    <row r="83" spans="2:19" ht="13" outlineLevel="1" x14ac:dyDescent="0.3">
      <c r="B83"/>
      <c r="C83"/>
      <c r="D83"/>
      <c r="E83"/>
      <c r="F83" t="s">
        <v>35</v>
      </c>
      <c r="G83" t="s">
        <v>244</v>
      </c>
      <c r="H83" s="53">
        <v>209.70000000000002</v>
      </c>
      <c r="I83"/>
      <c r="J83"/>
      <c r="K83"/>
      <c r="L83"/>
      <c r="M83"/>
      <c r="N83"/>
      <c r="Q83"/>
      <c r="R83"/>
    </row>
    <row r="84" spans="2:19" ht="13" outlineLevel="1" x14ac:dyDescent="0.3">
      <c r="B84"/>
      <c r="C84"/>
      <c r="D84"/>
      <c r="E84"/>
      <c r="F84" t="s">
        <v>24</v>
      </c>
      <c r="G84" t="s">
        <v>245</v>
      </c>
      <c r="H84" s="53">
        <v>2552</v>
      </c>
      <c r="I84"/>
      <c r="J84"/>
      <c r="K84"/>
      <c r="L84"/>
      <c r="M84"/>
      <c r="N84"/>
    </row>
    <row r="85" spans="2:19" ht="13" outlineLevel="1" x14ac:dyDescent="0.3">
      <c r="B85"/>
      <c r="C85"/>
      <c r="D85"/>
      <c r="E85"/>
      <c r="F85"/>
      <c r="G85"/>
      <c r="H85"/>
      <c r="I85"/>
      <c r="J85"/>
      <c r="K85"/>
      <c r="L85"/>
      <c r="M85"/>
      <c r="N85"/>
    </row>
    <row r="86" spans="2:19" ht="13" outlineLevel="1" x14ac:dyDescent="0.3">
      <c r="B86"/>
      <c r="C86"/>
      <c r="D86"/>
      <c r="E86"/>
      <c r="F86"/>
      <c r="G86"/>
      <c r="H86"/>
      <c r="I86"/>
      <c r="J86"/>
      <c r="K86"/>
      <c r="L86"/>
      <c r="M86"/>
      <c r="N86"/>
      <c r="S86"/>
    </row>
    <row r="87" spans="2:19" ht="13" outlineLevel="1" x14ac:dyDescent="0.3">
      <c r="J87"/>
      <c r="K87"/>
      <c r="L87"/>
      <c r="M87"/>
      <c r="N87"/>
      <c r="S87"/>
    </row>
    <row r="88" spans="2:19" ht="13" outlineLevel="1" x14ac:dyDescent="0.3">
      <c r="J88"/>
      <c r="K88"/>
      <c r="L88"/>
      <c r="M88"/>
      <c r="N88"/>
      <c r="Q88"/>
      <c r="R88"/>
      <c r="S88"/>
    </row>
    <row r="89" spans="2:19" ht="13" outlineLevel="1" x14ac:dyDescent="0.3">
      <c r="B89"/>
      <c r="C89"/>
      <c r="D89"/>
      <c r="E89"/>
      <c r="F89"/>
      <c r="G89"/>
      <c r="H89"/>
      <c r="I89"/>
      <c r="J89"/>
      <c r="K89"/>
      <c r="L89"/>
      <c r="M89"/>
      <c r="N89"/>
      <c r="Q89"/>
      <c r="R89"/>
      <c r="S89"/>
    </row>
    <row r="90" spans="2:19" ht="13" outlineLevel="1" x14ac:dyDescent="0.3">
      <c r="B90"/>
      <c r="C90"/>
      <c r="D90"/>
      <c r="E90"/>
      <c r="H90"/>
      <c r="I90"/>
      <c r="J90"/>
      <c r="K90"/>
      <c r="L90"/>
      <c r="M90"/>
      <c r="N90"/>
      <c r="Q90"/>
      <c r="R90"/>
      <c r="S90"/>
    </row>
    <row r="91" spans="2:19" ht="13" outlineLevel="1" x14ac:dyDescent="0.3">
      <c r="B91"/>
      <c r="K91"/>
      <c r="L91"/>
      <c r="M91"/>
      <c r="N91"/>
      <c r="Q91"/>
      <c r="R91"/>
      <c r="S91"/>
    </row>
    <row r="92" spans="2:19" ht="13" outlineLevel="1" x14ac:dyDescent="0.3">
      <c r="B92"/>
      <c r="F92"/>
      <c r="G92"/>
      <c r="H92"/>
      <c r="I92"/>
      <c r="J92"/>
      <c r="K92"/>
      <c r="L92"/>
      <c r="M92"/>
      <c r="N92"/>
      <c r="Q92"/>
      <c r="R92"/>
      <c r="S92"/>
    </row>
    <row r="93" spans="2:19" ht="13" outlineLevel="1" x14ac:dyDescent="0.3">
      <c r="B93"/>
      <c r="K93"/>
      <c r="L93"/>
      <c r="M93"/>
      <c r="N93"/>
      <c r="Q93"/>
      <c r="R93"/>
      <c r="S93"/>
    </row>
    <row r="94" spans="2:19" ht="13" outlineLevel="1" x14ac:dyDescent="0.3">
      <c r="B94"/>
      <c r="F94" s="46"/>
      <c r="K94"/>
      <c r="L94"/>
      <c r="M94"/>
      <c r="N94"/>
      <c r="Q94"/>
      <c r="R94"/>
      <c r="S94"/>
    </row>
    <row r="95" spans="2:19" ht="13" outlineLevel="1" x14ac:dyDescent="0.3">
      <c r="B95"/>
      <c r="C95"/>
      <c r="D95"/>
      <c r="E95"/>
      <c r="F95"/>
      <c r="G95"/>
      <c r="H95"/>
      <c r="I95"/>
      <c r="J95"/>
      <c r="K95"/>
      <c r="L95"/>
      <c r="M95"/>
      <c r="N95"/>
      <c r="Q95"/>
      <c r="R95"/>
      <c r="S95"/>
    </row>
    <row r="96" spans="2:19" ht="13" outlineLevel="1" x14ac:dyDescent="0.3">
      <c r="B96"/>
      <c r="C96"/>
      <c r="D96"/>
      <c r="E96"/>
      <c r="F96"/>
      <c r="G96"/>
      <c r="H96"/>
      <c r="I96"/>
      <c r="J96"/>
      <c r="K96"/>
      <c r="L96"/>
      <c r="M96"/>
      <c r="N96"/>
      <c r="Q96"/>
      <c r="R96"/>
      <c r="S96"/>
    </row>
    <row r="97" spans="2:19" ht="13" outlineLevel="1" x14ac:dyDescent="0.3">
      <c r="B97"/>
      <c r="C97"/>
      <c r="D97"/>
      <c r="E97"/>
      <c r="F97"/>
      <c r="G97"/>
      <c r="H97"/>
      <c r="I97"/>
      <c r="J97"/>
      <c r="K97"/>
      <c r="L97"/>
      <c r="M97"/>
      <c r="N97"/>
      <c r="Q97"/>
      <c r="R97"/>
      <c r="S97"/>
    </row>
    <row r="98" spans="2:19" ht="13" x14ac:dyDescent="0.3">
      <c r="B98"/>
      <c r="C98"/>
      <c r="D98"/>
      <c r="E98"/>
      <c r="F98" s="51"/>
      <c r="G98" s="53"/>
      <c r="H98"/>
      <c r="I98"/>
      <c r="J98"/>
      <c r="K98"/>
      <c r="L98"/>
      <c r="M98"/>
      <c r="N98"/>
      <c r="Q98"/>
      <c r="R98"/>
      <c r="S98"/>
    </row>
    <row r="99" spans="2:19" ht="13" x14ac:dyDescent="0.3">
      <c r="B99"/>
      <c r="C99"/>
      <c r="D99"/>
      <c r="E99"/>
      <c r="F99"/>
      <c r="G99"/>
      <c r="H99"/>
      <c r="I99"/>
      <c r="J99"/>
      <c r="K99"/>
      <c r="L99"/>
      <c r="M99"/>
      <c r="N99"/>
      <c r="Q99"/>
      <c r="R99"/>
      <c r="S99"/>
    </row>
    <row r="100" spans="2:19" ht="13" x14ac:dyDescent="0.3">
      <c r="B100"/>
      <c r="C100"/>
      <c r="D100"/>
      <c r="E100"/>
      <c r="F100"/>
      <c r="G100"/>
      <c r="H100"/>
      <c r="I100"/>
      <c r="J100"/>
      <c r="K100"/>
      <c r="L100"/>
      <c r="M100"/>
      <c r="N100"/>
      <c r="Q100"/>
      <c r="R100"/>
      <c r="S100"/>
    </row>
    <row r="101" spans="2:19" ht="13" x14ac:dyDescent="0.3">
      <c r="B101"/>
      <c r="C101"/>
      <c r="D101"/>
      <c r="E101"/>
      <c r="F101"/>
      <c r="G101"/>
      <c r="H101"/>
      <c r="I101"/>
      <c r="J101"/>
      <c r="K101"/>
      <c r="L101"/>
      <c r="M101"/>
      <c r="N101"/>
      <c r="Q101"/>
      <c r="R101"/>
      <c r="S101"/>
    </row>
    <row r="102" spans="2:19" ht="13" x14ac:dyDescent="0.3">
      <c r="B102"/>
      <c r="C102"/>
      <c r="D102"/>
      <c r="E102"/>
      <c r="F102"/>
      <c r="G102"/>
      <c r="H102"/>
      <c r="I102"/>
      <c r="J102"/>
      <c r="K102"/>
      <c r="L102"/>
      <c r="M102"/>
      <c r="N102"/>
      <c r="Q102"/>
      <c r="R102"/>
      <c r="S102"/>
    </row>
    <row r="103" spans="2:19" ht="13" x14ac:dyDescent="0.3">
      <c r="B103"/>
      <c r="C103"/>
      <c r="D103"/>
      <c r="E103"/>
      <c r="F103"/>
      <c r="G103"/>
      <c r="H103"/>
      <c r="I103"/>
      <c r="J103"/>
      <c r="K103"/>
      <c r="L103"/>
      <c r="M103"/>
      <c r="N103"/>
      <c r="Q103"/>
      <c r="R103"/>
      <c r="S103"/>
    </row>
    <row r="104" spans="2:19" ht="13" x14ac:dyDescent="0.3">
      <c r="B104"/>
      <c r="C104"/>
      <c r="D104"/>
      <c r="E104"/>
      <c r="F104"/>
      <c r="G104"/>
      <c r="H104"/>
      <c r="I104"/>
      <c r="J104"/>
      <c r="K104"/>
      <c r="L104"/>
      <c r="M104"/>
      <c r="N104"/>
      <c r="Q104"/>
      <c r="R104"/>
      <c r="S104"/>
    </row>
    <row r="105" spans="2:19" ht="13" x14ac:dyDescent="0.3">
      <c r="B105"/>
      <c r="C105"/>
      <c r="D105"/>
      <c r="E105"/>
      <c r="F105"/>
      <c r="G105"/>
      <c r="H105"/>
      <c r="I105"/>
      <c r="J105"/>
      <c r="K105"/>
      <c r="L105"/>
      <c r="M105"/>
      <c r="N105"/>
      <c r="Q105"/>
      <c r="R105"/>
      <c r="S105"/>
    </row>
    <row r="106" spans="2:19" ht="13" x14ac:dyDescent="0.3">
      <c r="B106"/>
      <c r="C106"/>
      <c r="D106"/>
      <c r="E106"/>
      <c r="F106"/>
      <c r="G106"/>
      <c r="H106"/>
      <c r="I106"/>
      <c r="J106"/>
      <c r="K106"/>
      <c r="L106"/>
      <c r="M106"/>
      <c r="N106"/>
      <c r="Q106"/>
      <c r="R106"/>
      <c r="S106"/>
    </row>
    <row r="107" spans="2:19" ht="13" x14ac:dyDescent="0.3">
      <c r="B107"/>
      <c r="C107"/>
      <c r="D107"/>
      <c r="E107"/>
      <c r="F107"/>
      <c r="G107"/>
      <c r="H107"/>
      <c r="I107"/>
      <c r="J107"/>
      <c r="K107"/>
      <c r="L107"/>
      <c r="M107"/>
      <c r="N107"/>
      <c r="Q107"/>
      <c r="R107"/>
      <c r="S107"/>
    </row>
    <row r="108" spans="2:19" ht="13" x14ac:dyDescent="0.3">
      <c r="B108"/>
      <c r="C108"/>
      <c r="D108"/>
      <c r="E108"/>
      <c r="F108"/>
      <c r="G108"/>
      <c r="H108"/>
      <c r="I108"/>
      <c r="J108"/>
      <c r="K108"/>
      <c r="L108"/>
      <c r="M108"/>
      <c r="N108"/>
      <c r="Q108"/>
      <c r="R108"/>
      <c r="S108"/>
    </row>
    <row r="109" spans="2:19" ht="13" x14ac:dyDescent="0.3">
      <c r="B109"/>
      <c r="C109"/>
      <c r="D109"/>
      <c r="E109"/>
      <c r="F109"/>
      <c r="G109"/>
      <c r="H109"/>
      <c r="I109"/>
      <c r="J109"/>
      <c r="K109"/>
      <c r="L109"/>
      <c r="M109"/>
      <c r="N109"/>
      <c r="Q109"/>
      <c r="R109"/>
      <c r="S109"/>
    </row>
    <row r="110" spans="2:19" ht="13" x14ac:dyDescent="0.3">
      <c r="B110"/>
      <c r="C110"/>
      <c r="D110"/>
      <c r="E110"/>
      <c r="F110"/>
      <c r="G110"/>
      <c r="H110"/>
      <c r="I110"/>
      <c r="J110"/>
      <c r="K110"/>
      <c r="L110"/>
      <c r="M110"/>
      <c r="N110"/>
      <c r="Q110"/>
      <c r="R110"/>
      <c r="S110"/>
    </row>
    <row r="111" spans="2:19" ht="13" x14ac:dyDescent="0.3">
      <c r="B111"/>
      <c r="C111"/>
      <c r="D111"/>
      <c r="E111"/>
      <c r="F111"/>
      <c r="G111"/>
      <c r="H111"/>
      <c r="I111"/>
      <c r="J111"/>
      <c r="K111"/>
      <c r="L111"/>
      <c r="M111"/>
      <c r="N111"/>
      <c r="Q111"/>
      <c r="R111"/>
      <c r="S111"/>
    </row>
    <row r="112" spans="2:19" ht="13" x14ac:dyDescent="0.3">
      <c r="B112"/>
      <c r="C112"/>
      <c r="D112"/>
      <c r="E112"/>
      <c r="F112"/>
      <c r="G112"/>
      <c r="H112"/>
      <c r="I112"/>
      <c r="J112"/>
      <c r="K112"/>
      <c r="L112"/>
      <c r="M112"/>
      <c r="N112"/>
      <c r="Q112"/>
      <c r="R112"/>
      <c r="S112"/>
    </row>
    <row r="113" spans="2:19" ht="13" x14ac:dyDescent="0.3">
      <c r="B113"/>
      <c r="C113"/>
      <c r="D113"/>
      <c r="E113"/>
      <c r="F113"/>
      <c r="G113"/>
      <c r="H113"/>
      <c r="I113"/>
      <c r="J113"/>
      <c r="K113"/>
      <c r="L113"/>
      <c r="M113"/>
      <c r="N113"/>
      <c r="Q113"/>
      <c r="R113"/>
      <c r="S113"/>
    </row>
    <row r="114" spans="2:19" ht="13" x14ac:dyDescent="0.3">
      <c r="B114"/>
      <c r="C114"/>
      <c r="D114"/>
      <c r="E114"/>
      <c r="F114"/>
      <c r="G114"/>
      <c r="H114"/>
      <c r="I114"/>
      <c r="J114"/>
      <c r="K114"/>
      <c r="L114"/>
      <c r="M114"/>
      <c r="N114"/>
      <c r="Q114"/>
      <c r="R114"/>
      <c r="S114"/>
    </row>
    <row r="115" spans="2:19" ht="13" x14ac:dyDescent="0.3">
      <c r="B115"/>
      <c r="C115"/>
      <c r="D115"/>
      <c r="E115"/>
      <c r="F115"/>
      <c r="G115"/>
      <c r="H115"/>
      <c r="I115"/>
      <c r="J115"/>
      <c r="K115"/>
      <c r="L115"/>
      <c r="M115"/>
      <c r="N115"/>
      <c r="Q115"/>
      <c r="R115"/>
      <c r="S115"/>
    </row>
    <row r="116" spans="2:19" ht="13" x14ac:dyDescent="0.3">
      <c r="B116"/>
      <c r="C116"/>
      <c r="D116"/>
      <c r="E116"/>
      <c r="F116"/>
      <c r="G116"/>
      <c r="H116"/>
      <c r="I116"/>
      <c r="J116"/>
      <c r="K116"/>
      <c r="L116"/>
      <c r="M116"/>
      <c r="N116"/>
      <c r="Q116"/>
      <c r="R116"/>
      <c r="S116"/>
    </row>
    <row r="117" spans="2:19" ht="13" x14ac:dyDescent="0.3">
      <c r="B117"/>
      <c r="C117"/>
      <c r="D117"/>
      <c r="E117"/>
      <c r="F117"/>
      <c r="G117"/>
      <c r="H117"/>
      <c r="I117"/>
      <c r="J117"/>
      <c r="K117"/>
      <c r="L117"/>
      <c r="M117"/>
      <c r="N117"/>
      <c r="Q117"/>
      <c r="R117"/>
      <c r="S117"/>
    </row>
    <row r="118" spans="2:19" ht="13" x14ac:dyDescent="0.3">
      <c r="B118"/>
      <c r="C118"/>
      <c r="D118"/>
      <c r="E118"/>
      <c r="F118"/>
      <c r="G118"/>
      <c r="H118"/>
      <c r="I118"/>
      <c r="J118"/>
      <c r="K118"/>
      <c r="L118"/>
      <c r="M118"/>
      <c r="N118"/>
      <c r="Q118"/>
      <c r="R118"/>
      <c r="S118"/>
    </row>
    <row r="119" spans="2:19" ht="13" x14ac:dyDescent="0.3">
      <c r="B119"/>
      <c r="C119"/>
      <c r="D119"/>
      <c r="E119"/>
      <c r="F119"/>
      <c r="G119"/>
      <c r="H119"/>
      <c r="I119"/>
      <c r="J119"/>
      <c r="K119"/>
      <c r="L119"/>
      <c r="M119"/>
      <c r="N119"/>
      <c r="Q119"/>
      <c r="R119"/>
      <c r="S119"/>
    </row>
    <row r="120" spans="2:19" ht="13" x14ac:dyDescent="0.3">
      <c r="B120"/>
      <c r="C120"/>
      <c r="D120"/>
      <c r="E120"/>
      <c r="F120"/>
      <c r="G120"/>
      <c r="H120"/>
      <c r="I120"/>
      <c r="J120"/>
      <c r="K120"/>
      <c r="L120"/>
      <c r="M120"/>
      <c r="N120"/>
      <c r="Q120"/>
      <c r="R120"/>
      <c r="S120"/>
    </row>
    <row r="121" spans="2:19" ht="13" x14ac:dyDescent="0.3">
      <c r="B121"/>
      <c r="C121"/>
      <c r="D121"/>
      <c r="E121"/>
      <c r="F121"/>
      <c r="G121"/>
      <c r="H121"/>
      <c r="I121"/>
      <c r="J121"/>
      <c r="K121"/>
      <c r="L121"/>
      <c r="M121"/>
      <c r="N121"/>
      <c r="Q121"/>
      <c r="R121"/>
      <c r="S121"/>
    </row>
    <row r="122" spans="2:19" ht="13" x14ac:dyDescent="0.3">
      <c r="B122"/>
      <c r="C122"/>
      <c r="D122"/>
      <c r="E122"/>
      <c r="F122"/>
      <c r="G122"/>
      <c r="H122"/>
      <c r="I122"/>
      <c r="J122"/>
      <c r="K122"/>
      <c r="L122"/>
      <c r="M122"/>
      <c r="N122"/>
      <c r="Q122"/>
      <c r="R122"/>
      <c r="S122"/>
    </row>
    <row r="123" spans="2:19" ht="13" x14ac:dyDescent="0.3">
      <c r="B123"/>
      <c r="C123"/>
      <c r="D123"/>
      <c r="E123"/>
      <c r="F123"/>
      <c r="G123"/>
      <c r="H123"/>
      <c r="I123"/>
      <c r="J123"/>
      <c r="K123"/>
      <c r="L123"/>
      <c r="M123"/>
      <c r="N123"/>
      <c r="Q123"/>
      <c r="R123"/>
      <c r="S123"/>
    </row>
    <row r="124" spans="2:19" ht="13" x14ac:dyDescent="0.3">
      <c r="B124"/>
      <c r="C124"/>
      <c r="D124"/>
      <c r="E124"/>
      <c r="F124"/>
      <c r="G124"/>
      <c r="H124"/>
      <c r="I124"/>
      <c r="J124"/>
      <c r="K124"/>
      <c r="L124"/>
      <c r="M124"/>
      <c r="N124"/>
      <c r="Q124"/>
      <c r="R124"/>
      <c r="S124"/>
    </row>
    <row r="125" spans="2:19" ht="13" x14ac:dyDescent="0.3">
      <c r="B125"/>
      <c r="C125"/>
      <c r="D125"/>
      <c r="E125"/>
      <c r="F125"/>
      <c r="G125"/>
      <c r="H125"/>
      <c r="I125"/>
      <c r="J125"/>
      <c r="K125"/>
      <c r="L125"/>
      <c r="M125"/>
      <c r="N125"/>
      <c r="Q125"/>
      <c r="R125"/>
      <c r="S125"/>
    </row>
    <row r="126" spans="2:19" ht="13" x14ac:dyDescent="0.3">
      <c r="B126"/>
      <c r="C126"/>
      <c r="D126"/>
      <c r="E126"/>
      <c r="F126"/>
      <c r="G126"/>
      <c r="H126"/>
      <c r="I126"/>
      <c r="J126"/>
      <c r="K126"/>
      <c r="L126"/>
      <c r="M126"/>
      <c r="N126"/>
      <c r="Q126"/>
      <c r="R126"/>
      <c r="S126"/>
    </row>
    <row r="127" spans="2:19" ht="13" x14ac:dyDescent="0.3">
      <c r="B127"/>
      <c r="C127"/>
      <c r="D127"/>
      <c r="E127"/>
      <c r="F127"/>
      <c r="G127"/>
      <c r="H127"/>
      <c r="I127"/>
      <c r="J127"/>
      <c r="K127"/>
      <c r="L127"/>
      <c r="M127"/>
      <c r="N127"/>
      <c r="Q127"/>
      <c r="R127"/>
      <c r="S127"/>
    </row>
    <row r="128" spans="2:19" ht="13" x14ac:dyDescent="0.3">
      <c r="B128"/>
      <c r="C128"/>
      <c r="D128"/>
      <c r="E128"/>
      <c r="F128"/>
      <c r="G128"/>
      <c r="H128"/>
      <c r="I128"/>
      <c r="J128"/>
      <c r="K128"/>
      <c r="L128"/>
      <c r="M128"/>
      <c r="N128"/>
      <c r="Q128"/>
      <c r="R128"/>
      <c r="S128"/>
    </row>
    <row r="129" spans="2:19" ht="13" x14ac:dyDescent="0.3">
      <c r="B129"/>
      <c r="C129"/>
      <c r="D129"/>
      <c r="E129"/>
      <c r="F129"/>
      <c r="G129"/>
      <c r="H129"/>
      <c r="I129"/>
      <c r="J129"/>
      <c r="K129"/>
      <c r="L129"/>
      <c r="M129"/>
      <c r="N129"/>
      <c r="Q129"/>
      <c r="R129"/>
      <c r="S129"/>
    </row>
    <row r="130" spans="2:19" ht="13" x14ac:dyDescent="0.3">
      <c r="B130"/>
      <c r="C130"/>
      <c r="D130"/>
      <c r="E130"/>
      <c r="F130"/>
      <c r="G130"/>
      <c r="H130"/>
      <c r="I130"/>
      <c r="J130"/>
      <c r="K130"/>
      <c r="L130"/>
      <c r="M130"/>
      <c r="N130"/>
      <c r="Q130"/>
      <c r="R130"/>
      <c r="S130"/>
    </row>
    <row r="131" spans="2:19" ht="13" x14ac:dyDescent="0.3">
      <c r="B131"/>
      <c r="C131"/>
      <c r="D131"/>
      <c r="E131"/>
      <c r="F131"/>
      <c r="G131"/>
      <c r="H131"/>
      <c r="I131"/>
      <c r="J131"/>
      <c r="K131"/>
      <c r="L131"/>
      <c r="M131"/>
      <c r="N131"/>
      <c r="Q131"/>
      <c r="R131"/>
      <c r="S131"/>
    </row>
    <row r="132" spans="2:19" ht="13" x14ac:dyDescent="0.3">
      <c r="B132"/>
      <c r="C132"/>
      <c r="D132"/>
      <c r="E132"/>
      <c r="F132"/>
      <c r="G132"/>
      <c r="H132"/>
      <c r="I132"/>
      <c r="J132"/>
      <c r="K132"/>
      <c r="L132"/>
      <c r="M132"/>
      <c r="N132"/>
      <c r="Q132"/>
      <c r="R132"/>
      <c r="S132"/>
    </row>
    <row r="133" spans="2:19" ht="13" x14ac:dyDescent="0.3">
      <c r="B133"/>
      <c r="C133"/>
      <c r="D133"/>
      <c r="E133"/>
      <c r="F133"/>
      <c r="G133"/>
      <c r="H133"/>
      <c r="I133"/>
      <c r="J133"/>
      <c r="K133"/>
      <c r="L133"/>
      <c r="M133"/>
      <c r="N133"/>
      <c r="Q133"/>
      <c r="R133"/>
      <c r="S133"/>
    </row>
    <row r="134" spans="2:19" ht="13" x14ac:dyDescent="0.3">
      <c r="B134"/>
      <c r="C134"/>
      <c r="D134"/>
      <c r="E134"/>
      <c r="F134"/>
      <c r="G134"/>
      <c r="H134"/>
      <c r="I134"/>
      <c r="J134"/>
      <c r="K134"/>
      <c r="L134"/>
      <c r="M134"/>
      <c r="N134"/>
      <c r="Q134"/>
      <c r="R134"/>
      <c r="S134"/>
    </row>
    <row r="135" spans="2:19" ht="13" x14ac:dyDescent="0.3">
      <c r="B135"/>
      <c r="C135"/>
      <c r="D135"/>
      <c r="E135"/>
      <c r="F135"/>
      <c r="G135"/>
      <c r="H135"/>
      <c r="I135"/>
      <c r="J135"/>
      <c r="K135"/>
      <c r="L135"/>
      <c r="M135"/>
      <c r="N135"/>
      <c r="Q135"/>
      <c r="R135"/>
      <c r="S135"/>
    </row>
    <row r="136" spans="2:19" ht="13" x14ac:dyDescent="0.3">
      <c r="B136"/>
      <c r="C136"/>
      <c r="D136"/>
      <c r="E136"/>
      <c r="F136"/>
      <c r="G136"/>
      <c r="H136"/>
      <c r="I136"/>
      <c r="J136"/>
      <c r="K136"/>
      <c r="L136"/>
      <c r="M136"/>
      <c r="N136"/>
      <c r="Q136"/>
      <c r="R136"/>
      <c r="S136"/>
    </row>
    <row r="137" spans="2:19" ht="13" x14ac:dyDescent="0.3">
      <c r="B137"/>
      <c r="C137"/>
      <c r="D137"/>
      <c r="E137"/>
      <c r="F137"/>
      <c r="G137"/>
      <c r="H137"/>
      <c r="I137"/>
      <c r="J137"/>
      <c r="K137"/>
      <c r="L137"/>
      <c r="M137"/>
      <c r="N137"/>
      <c r="Q137"/>
      <c r="R137"/>
      <c r="S137"/>
    </row>
    <row r="138" spans="2:19" ht="13" x14ac:dyDescent="0.3">
      <c r="B138"/>
      <c r="C138"/>
      <c r="D138"/>
      <c r="E138"/>
      <c r="F138"/>
      <c r="G138"/>
      <c r="H138"/>
      <c r="I138"/>
      <c r="J138"/>
      <c r="K138"/>
      <c r="L138"/>
      <c r="M138"/>
      <c r="N138"/>
      <c r="Q138"/>
      <c r="R138"/>
      <c r="S138"/>
    </row>
    <row r="139" spans="2:19" ht="13" x14ac:dyDescent="0.3">
      <c r="B139"/>
      <c r="C139"/>
      <c r="D139"/>
      <c r="E139"/>
      <c r="F139"/>
      <c r="G139"/>
      <c r="H139"/>
      <c r="I139"/>
      <c r="J139"/>
      <c r="K139"/>
      <c r="L139"/>
      <c r="M139"/>
      <c r="N139"/>
      <c r="Q139"/>
      <c r="R139"/>
      <c r="S139"/>
    </row>
    <row r="140" spans="2:19" ht="13" x14ac:dyDescent="0.3">
      <c r="B140"/>
      <c r="C140"/>
      <c r="D140"/>
      <c r="E140"/>
      <c r="F140"/>
      <c r="G140"/>
      <c r="H140"/>
      <c r="I140"/>
      <c r="J140"/>
      <c r="K140"/>
      <c r="L140"/>
      <c r="M140"/>
      <c r="N140"/>
      <c r="Q140"/>
      <c r="R140"/>
      <c r="S140"/>
    </row>
    <row r="141" spans="2:19" ht="13" x14ac:dyDescent="0.3">
      <c r="B141"/>
      <c r="C141"/>
      <c r="D141"/>
      <c r="E141"/>
      <c r="F141"/>
      <c r="G141"/>
      <c r="H141"/>
      <c r="I141"/>
      <c r="J141"/>
      <c r="K141"/>
      <c r="L141"/>
      <c r="M141"/>
      <c r="N141"/>
      <c r="Q141"/>
      <c r="R141"/>
      <c r="S141"/>
    </row>
    <row r="142" spans="2:19" ht="13" x14ac:dyDescent="0.3">
      <c r="B142"/>
      <c r="C142"/>
      <c r="D142"/>
      <c r="E142"/>
      <c r="F142"/>
      <c r="G142"/>
      <c r="H142"/>
      <c r="I142"/>
      <c r="J142"/>
      <c r="K142"/>
      <c r="L142"/>
      <c r="M142"/>
      <c r="N142"/>
      <c r="Q142"/>
      <c r="R142"/>
      <c r="S142"/>
    </row>
    <row r="143" spans="2:19" ht="13" x14ac:dyDescent="0.3">
      <c r="Q143"/>
      <c r="R143"/>
      <c r="S143"/>
    </row>
    <row r="144" spans="2:19" ht="13" x14ac:dyDescent="0.3">
      <c r="Q144"/>
      <c r="R144"/>
      <c r="S144"/>
    </row>
    <row r="145" spans="17:19" ht="13" x14ac:dyDescent="0.3">
      <c r="Q145"/>
      <c r="R145"/>
      <c r="S145"/>
    </row>
    <row r="146" spans="17:19" ht="13" x14ac:dyDescent="0.3">
      <c r="Q146"/>
      <c r="R146"/>
      <c r="S146"/>
    </row>
    <row r="147" spans="17:19" ht="13" x14ac:dyDescent="0.3">
      <c r="Q147"/>
      <c r="R147"/>
      <c r="S147"/>
    </row>
    <row r="148" spans="17:19" ht="13" x14ac:dyDescent="0.3">
      <c r="Q148"/>
      <c r="R148"/>
      <c r="S148"/>
    </row>
    <row r="149" spans="17:19" ht="13" x14ac:dyDescent="0.3">
      <c r="Q149"/>
      <c r="R149"/>
      <c r="S149"/>
    </row>
    <row r="150" spans="17:19" ht="13" x14ac:dyDescent="0.3">
      <c r="Q150"/>
      <c r="R150"/>
      <c r="S150"/>
    </row>
    <row r="151" spans="17:19" ht="13" x14ac:dyDescent="0.3">
      <c r="Q151"/>
      <c r="R151"/>
      <c r="S151"/>
    </row>
    <row r="152" spans="17:19" ht="13" x14ac:dyDescent="0.3">
      <c r="Q152"/>
      <c r="R152"/>
      <c r="S152"/>
    </row>
    <row r="153" spans="17:19" ht="13" x14ac:dyDescent="0.3">
      <c r="Q153"/>
      <c r="R153"/>
      <c r="S153"/>
    </row>
    <row r="154" spans="17:19" ht="13" x14ac:dyDescent="0.3">
      <c r="Q154"/>
      <c r="R154"/>
      <c r="S154"/>
    </row>
    <row r="155" spans="17:19" ht="13" x14ac:dyDescent="0.3">
      <c r="Q155"/>
      <c r="R155"/>
      <c r="S155"/>
    </row>
    <row r="156" spans="17:19" ht="13" x14ac:dyDescent="0.3">
      <c r="Q156"/>
      <c r="R156"/>
      <c r="S156"/>
    </row>
    <row r="157" spans="17:19" ht="13" x14ac:dyDescent="0.3">
      <c r="Q157"/>
      <c r="R157"/>
      <c r="S157"/>
    </row>
    <row r="158" spans="17:19" ht="13" x14ac:dyDescent="0.3">
      <c r="Q158"/>
      <c r="R158"/>
      <c r="S158"/>
    </row>
    <row r="159" spans="17:19" ht="13" x14ac:dyDescent="0.3">
      <c r="Q159"/>
      <c r="R159"/>
      <c r="S159"/>
    </row>
    <row r="160" spans="17:19" ht="13" x14ac:dyDescent="0.3">
      <c r="Q160"/>
      <c r="R160"/>
      <c r="S160"/>
    </row>
    <row r="161" spans="17:19" ht="13" x14ac:dyDescent="0.3">
      <c r="Q161"/>
      <c r="R161"/>
      <c r="S161"/>
    </row>
    <row r="162" spans="17:19" ht="13" x14ac:dyDescent="0.3">
      <c r="Q162"/>
      <c r="R162"/>
      <c r="S162"/>
    </row>
    <row r="163" spans="17:19" ht="13" x14ac:dyDescent="0.3">
      <c r="Q163"/>
      <c r="R163"/>
      <c r="S163"/>
    </row>
    <row r="164" spans="17:19" ht="13" x14ac:dyDescent="0.3">
      <c r="Q164"/>
      <c r="R164"/>
      <c r="S164"/>
    </row>
    <row r="165" spans="17:19" ht="13" x14ac:dyDescent="0.3">
      <c r="Q165"/>
      <c r="R165"/>
      <c r="S165"/>
    </row>
    <row r="166" spans="17:19" ht="13" x14ac:dyDescent="0.3">
      <c r="Q166"/>
      <c r="R166"/>
      <c r="S166"/>
    </row>
    <row r="167" spans="17:19" ht="13" x14ac:dyDescent="0.3">
      <c r="Q167"/>
      <c r="R167"/>
      <c r="S167"/>
    </row>
    <row r="168" spans="17:19" ht="13" x14ac:dyDescent="0.3">
      <c r="Q168"/>
      <c r="R168"/>
      <c r="S168"/>
    </row>
    <row r="169" spans="17:19" ht="13" x14ac:dyDescent="0.3">
      <c r="Q169"/>
      <c r="R169"/>
      <c r="S169"/>
    </row>
    <row r="170" spans="17:19" ht="13" x14ac:dyDescent="0.3">
      <c r="Q170"/>
      <c r="R170"/>
      <c r="S170"/>
    </row>
    <row r="171" spans="17:19" ht="13" x14ac:dyDescent="0.3">
      <c r="Q171"/>
      <c r="R171"/>
      <c r="S171"/>
    </row>
    <row r="172" spans="17:19" ht="13" x14ac:dyDescent="0.3">
      <c r="Q172"/>
      <c r="R172"/>
      <c r="S172"/>
    </row>
    <row r="173" spans="17:19" ht="13" x14ac:dyDescent="0.3">
      <c r="Q173"/>
      <c r="R173"/>
      <c r="S173"/>
    </row>
    <row r="174" spans="17:19" ht="13" x14ac:dyDescent="0.3">
      <c r="Q174"/>
      <c r="R174"/>
    </row>
    <row r="175" spans="17:19" ht="13" x14ac:dyDescent="0.3">
      <c r="Q175"/>
      <c r="R175"/>
    </row>
    <row r="176" spans="17:19" ht="13" x14ac:dyDescent="0.3">
      <c r="Q176"/>
      <c r="R176"/>
    </row>
    <row r="177" spans="17:18" ht="13" x14ac:dyDescent="0.3">
      <c r="Q177"/>
      <c r="R177"/>
    </row>
    <row r="178" spans="17:18" ht="13" x14ac:dyDescent="0.3">
      <c r="Q178"/>
      <c r="R178"/>
    </row>
    <row r="179" spans="17:18" ht="13" x14ac:dyDescent="0.3">
      <c r="Q179"/>
      <c r="R179"/>
    </row>
    <row r="180" spans="17:18" ht="13" x14ac:dyDescent="0.3">
      <c r="Q180"/>
      <c r="R180"/>
    </row>
    <row r="181" spans="17:18" ht="13" x14ac:dyDescent="0.3">
      <c r="Q181"/>
      <c r="R181"/>
    </row>
    <row r="182" spans="17:18" ht="13" x14ac:dyDescent="0.3">
      <c r="Q182"/>
      <c r="R182"/>
    </row>
    <row r="183" spans="17:18" ht="13" x14ac:dyDescent="0.3">
      <c r="Q183"/>
      <c r="R183"/>
    </row>
    <row r="184" spans="17:18" ht="13" x14ac:dyDescent="0.3">
      <c r="Q184"/>
      <c r="R184"/>
    </row>
    <row r="185" spans="17:18" ht="13" x14ac:dyDescent="0.3">
      <c r="Q185"/>
      <c r="R185"/>
    </row>
    <row r="186" spans="17:18" ht="13" x14ac:dyDescent="0.3">
      <c r="Q186"/>
      <c r="R186"/>
    </row>
    <row r="187" spans="17:18" ht="13" x14ac:dyDescent="0.3">
      <c r="Q187"/>
      <c r="R187"/>
    </row>
    <row r="188" spans="17:18" ht="13" x14ac:dyDescent="0.3">
      <c r="Q188"/>
      <c r="R188"/>
    </row>
    <row r="189" spans="17:18" ht="13" x14ac:dyDescent="0.3">
      <c r="Q189"/>
      <c r="R189"/>
    </row>
    <row r="190" spans="17:18" ht="13" x14ac:dyDescent="0.3">
      <c r="Q190"/>
      <c r="R190"/>
    </row>
    <row r="191" spans="17:18" ht="13" x14ac:dyDescent="0.3">
      <c r="Q191"/>
      <c r="R191"/>
    </row>
    <row r="192" spans="17:18" ht="13" x14ac:dyDescent="0.3">
      <c r="Q192"/>
      <c r="R192"/>
    </row>
    <row r="193" spans="17:18" ht="13" x14ac:dyDescent="0.3">
      <c r="Q193"/>
      <c r="R193"/>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10241" r:id="rId8" name="Button 1">
              <controlPr defaultSize="0" print="0" autoFill="0" autoPict="0" macro="[0]!ThisWorkbook.Formatting_Instruction_Send_To_Answer_1">
                <anchor moveWithCells="1" sizeWithCells="1">
                  <from>
                    <xdr:col>11</xdr:col>
                    <xdr:colOff>412750</xdr:colOff>
                    <xdr:row>11</xdr:row>
                    <xdr:rowOff>69850</xdr:rowOff>
                  </from>
                  <to>
                    <xdr:col>15</xdr:col>
                    <xdr:colOff>0</xdr:colOff>
                    <xdr:row>14</xdr:row>
                    <xdr:rowOff>107950</xdr:rowOff>
                  </to>
                </anchor>
              </controlPr>
            </control>
          </mc:Choice>
        </mc:AlternateContent>
        <mc:AlternateContent xmlns:mc="http://schemas.openxmlformats.org/markup-compatibility/2006">
          <mc:Choice Requires="x14">
            <control shapeId="10242" r:id="rId9" name="Button 2">
              <controlPr defaultSize="0" print="0" autoFill="0" autoPict="0" macro="[0]!ThisWorkbook.Formatting_Instruction_Send_To_Answer_2">
                <anchor moveWithCells="1" sizeWithCells="1">
                  <from>
                    <xdr:col>11</xdr:col>
                    <xdr:colOff>450850</xdr:colOff>
                    <xdr:row>25</xdr:row>
                    <xdr:rowOff>107950</xdr:rowOff>
                  </from>
                  <to>
                    <xdr:col>15</xdr:col>
                    <xdr:colOff>38100</xdr:colOff>
                    <xdr:row>28</xdr:row>
                    <xdr:rowOff>146050</xdr:rowOff>
                  </to>
                </anchor>
              </controlPr>
            </control>
          </mc:Choice>
        </mc:AlternateContent>
        <mc:AlternateContent xmlns:mc="http://schemas.openxmlformats.org/markup-compatibility/2006">
          <mc:Choice Requires="x14">
            <control shapeId="10243" r:id="rId10" name="Button 3">
              <controlPr defaultSize="0" print="0" autoFill="0" autoPict="0" macro="[0]!ThisWorkbook.Formatting_Instruction_Send_To_Answer_3">
                <anchor moveWithCells="1" sizeWithCells="1">
                  <from>
                    <xdr:col>11</xdr:col>
                    <xdr:colOff>431800</xdr:colOff>
                    <xdr:row>47</xdr:row>
                    <xdr:rowOff>146050</xdr:rowOff>
                  </from>
                  <to>
                    <xdr:col>15</xdr:col>
                    <xdr:colOff>31750</xdr:colOff>
                    <xdr:row>51</xdr:row>
                    <xdr:rowOff>0</xdr:rowOff>
                  </to>
                </anchor>
              </controlPr>
            </control>
          </mc:Choice>
        </mc:AlternateContent>
        <mc:AlternateContent xmlns:mc="http://schemas.openxmlformats.org/markup-compatibility/2006">
          <mc:Choice Requires="x14">
            <control shapeId="10244" r:id="rId11" name="Button 4">
              <controlPr defaultSize="0" print="0" autoFill="0" autoPict="0" macro="[0]!ThisWorkbook.Formatting_Instruction_Send_To_Answer_4">
                <anchor moveWithCells="1" sizeWithCells="1">
                  <from>
                    <xdr:col>11</xdr:col>
                    <xdr:colOff>355600</xdr:colOff>
                    <xdr:row>73</xdr:row>
                    <xdr:rowOff>152400</xdr:rowOff>
                  </from>
                  <to>
                    <xdr:col>14</xdr:col>
                    <xdr:colOff>488950</xdr:colOff>
                    <xdr:row>77</xdr:row>
                    <xdr:rowOff>31750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117"/>
  <sheetViews>
    <sheetView showGridLines="0" zoomScale="80" workbookViewId="0">
      <selection activeCell="G2" sqref="G2"/>
    </sheetView>
  </sheetViews>
  <sheetFormatPr defaultColWidth="9.33203125" defaultRowHeight="12.5" outlineLevelRow="1" x14ac:dyDescent="0.25"/>
  <cols>
    <col min="1" max="5" width="9.33203125" style="2"/>
    <col min="6" max="6" width="31.33203125" style="2" customWidth="1"/>
    <col min="7" max="7" width="20.77734375" style="2" customWidth="1"/>
    <col min="8"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0" ht="13" x14ac:dyDescent="0.3">
      <c r="A1" s="3" t="str">
        <f>Introduction!A1</f>
        <v>Problem Solving with Excel</v>
      </c>
    </row>
    <row r="2" spans="1:10" ht="13" x14ac:dyDescent="0.3">
      <c r="A2" s="3" t="str">
        <f>Introduction!A2</f>
        <v>Week 3</v>
      </c>
    </row>
    <row r="3" spans="1:10" ht="13" x14ac:dyDescent="0.3">
      <c r="A3" s="3" t="str">
        <f>Introduction!A3</f>
        <v>Pivot Tables</v>
      </c>
    </row>
    <row r="4" spans="1:10" ht="13" x14ac:dyDescent="0.3">
      <c r="A4" s="3" t="str">
        <f ca="1">MID(CELL("Filename",I7),SEARCH("]",CELL("Filename",I7),1)+1,100)</f>
        <v>Section 4 - Sorting</v>
      </c>
    </row>
    <row r="7" spans="1:10" ht="18.5" x14ac:dyDescent="0.45">
      <c r="B7" s="5" t="s">
        <v>286</v>
      </c>
    </row>
    <row r="8" spans="1:10" ht="13" hidden="1" outlineLevel="1" x14ac:dyDescent="0.3">
      <c r="F8" s="46" t="s">
        <v>291</v>
      </c>
      <c r="G8"/>
      <c r="H8"/>
      <c r="I8"/>
    </row>
    <row r="9" spans="1:10" ht="13" hidden="1" outlineLevel="1" x14ac:dyDescent="0.3">
      <c r="F9" s="50" t="s">
        <v>8</v>
      </c>
      <c r="G9" t="s">
        <v>80</v>
      </c>
      <c r="H9"/>
      <c r="I9"/>
    </row>
    <row r="10" spans="1:10" ht="13" hidden="1" outlineLevel="1" x14ac:dyDescent="0.3">
      <c r="F10"/>
      <c r="G10"/>
      <c r="H10"/>
      <c r="I10"/>
    </row>
    <row r="11" spans="1:10" ht="13" hidden="1" outlineLevel="1" x14ac:dyDescent="0.3">
      <c r="F11" s="50" t="s">
        <v>249</v>
      </c>
      <c r="G11" t="s">
        <v>234</v>
      </c>
      <c r="H11"/>
      <c r="I11"/>
    </row>
    <row r="12" spans="1:10" ht="13" hidden="1" outlineLevel="1" x14ac:dyDescent="0.3">
      <c r="F12" s="51" t="s">
        <v>79</v>
      </c>
      <c r="G12" s="55">
        <v>949.05000000000007</v>
      </c>
      <c r="H12"/>
      <c r="I12"/>
    </row>
    <row r="13" spans="1:10" ht="13" hidden="1" outlineLevel="1" x14ac:dyDescent="0.3">
      <c r="F13" s="51" t="s">
        <v>106</v>
      </c>
      <c r="G13" s="55">
        <v>682.5</v>
      </c>
      <c r="H13"/>
      <c r="I13"/>
    </row>
    <row r="14" spans="1:10" ht="13" hidden="1" outlineLevel="1" x14ac:dyDescent="0.3">
      <c r="F14" s="51" t="s">
        <v>157</v>
      </c>
      <c r="G14" s="55">
        <v>474.5</v>
      </c>
      <c r="H14"/>
      <c r="I14"/>
    </row>
    <row r="15" spans="1:10" ht="13" hidden="1" outlineLevel="1" x14ac:dyDescent="0.3">
      <c r="F15" s="51" t="s">
        <v>232</v>
      </c>
      <c r="G15" s="55">
        <v>2106.0500000000002</v>
      </c>
      <c r="H15"/>
      <c r="I15"/>
    </row>
    <row r="16" spans="1:10" ht="13" hidden="1" outlineLevel="1" x14ac:dyDescent="0.3">
      <c r="I16"/>
      <c r="J16"/>
    </row>
    <row r="17" spans="2:10" ht="13" hidden="1" outlineLevel="1" x14ac:dyDescent="0.3">
      <c r="I17"/>
      <c r="J17"/>
    </row>
    <row r="18" spans="2:10" ht="13" hidden="1" outlineLevel="1" x14ac:dyDescent="0.3">
      <c r="F18"/>
      <c r="G18"/>
      <c r="H18"/>
      <c r="I18"/>
      <c r="J18"/>
    </row>
    <row r="19" spans="2:10" ht="13" hidden="1" outlineLevel="1" x14ac:dyDescent="0.3">
      <c r="F19"/>
      <c r="G19"/>
      <c r="H19"/>
      <c r="I19"/>
      <c r="J19"/>
    </row>
    <row r="20" spans="2:10" hidden="1" outlineLevel="1" x14ac:dyDescent="0.25"/>
    <row r="21" spans="2:10" hidden="1" outlineLevel="1" x14ac:dyDescent="0.25"/>
    <row r="22" spans="2:10" hidden="1" outlineLevel="1" x14ac:dyDescent="0.25"/>
    <row r="23" spans="2:10" hidden="1" outlineLevel="1" x14ac:dyDescent="0.25"/>
    <row r="24" spans="2:10" ht="18.5" collapsed="1" x14ac:dyDescent="0.45">
      <c r="B24" s="5" t="s">
        <v>287</v>
      </c>
    </row>
    <row r="25" spans="2:10" ht="13" hidden="1" outlineLevel="1" x14ac:dyDescent="0.3">
      <c r="F25" s="46" t="s">
        <v>288</v>
      </c>
    </row>
    <row r="26" spans="2:10" ht="13" hidden="1" outlineLevel="1" x14ac:dyDescent="0.3">
      <c r="F26" s="50" t="s">
        <v>250</v>
      </c>
      <c r="G26" t="s">
        <v>246</v>
      </c>
    </row>
    <row r="27" spans="2:10" ht="13" hidden="1" outlineLevel="1" x14ac:dyDescent="0.3">
      <c r="F27" s="51" t="s">
        <v>22</v>
      </c>
      <c r="G27" s="54">
        <v>1042</v>
      </c>
    </row>
    <row r="28" spans="2:10" ht="13" hidden="1" outlineLevel="1" x14ac:dyDescent="0.3">
      <c r="F28" s="72" t="s">
        <v>235</v>
      </c>
      <c r="G28" s="54">
        <v>125</v>
      </c>
    </row>
    <row r="29" spans="2:10" ht="13" hidden="1" outlineLevel="1" x14ac:dyDescent="0.3">
      <c r="F29" s="72" t="s">
        <v>240</v>
      </c>
      <c r="G29" s="54">
        <v>411</v>
      </c>
    </row>
    <row r="30" spans="2:10" ht="13" hidden="1" outlineLevel="1" x14ac:dyDescent="0.3">
      <c r="F30" s="72" t="s">
        <v>242</v>
      </c>
      <c r="G30" s="54">
        <v>141</v>
      </c>
    </row>
    <row r="31" spans="2:10" ht="13" hidden="1" outlineLevel="1" x14ac:dyDescent="0.3">
      <c r="F31" s="72" t="s">
        <v>245</v>
      </c>
      <c r="G31" s="54">
        <v>365</v>
      </c>
    </row>
    <row r="32" spans="2:10" ht="13" hidden="1" outlineLevel="1" x14ac:dyDescent="0.3">
      <c r="F32" s="51" t="s">
        <v>19</v>
      </c>
      <c r="G32" s="54">
        <v>3302</v>
      </c>
    </row>
    <row r="33" spans="2:9" ht="13" hidden="1" outlineLevel="1" x14ac:dyDescent="0.3">
      <c r="F33" s="72" t="s">
        <v>237</v>
      </c>
      <c r="G33" s="54">
        <v>1265</v>
      </c>
      <c r="H33"/>
      <c r="I33"/>
    </row>
    <row r="34" spans="2:9" ht="13" hidden="1" outlineLevel="1" x14ac:dyDescent="0.3">
      <c r="F34" s="72" t="s">
        <v>238</v>
      </c>
      <c r="G34" s="54">
        <v>583</v>
      </c>
      <c r="H34"/>
      <c r="I34"/>
    </row>
    <row r="35" spans="2:9" ht="13" hidden="1" outlineLevel="1" x14ac:dyDescent="0.3">
      <c r="F35" s="72" t="s">
        <v>239</v>
      </c>
      <c r="G35" s="54">
        <v>874</v>
      </c>
      <c r="H35"/>
      <c r="I35"/>
    </row>
    <row r="36" spans="2:9" ht="13" hidden="1" outlineLevel="1" x14ac:dyDescent="0.3">
      <c r="F36" s="72" t="s">
        <v>245</v>
      </c>
      <c r="G36" s="54">
        <v>580</v>
      </c>
      <c r="H36"/>
      <c r="I36"/>
    </row>
    <row r="37" spans="2:9" ht="13" hidden="1" outlineLevel="1" x14ac:dyDescent="0.3">
      <c r="F37" s="51" t="s">
        <v>25</v>
      </c>
      <c r="G37" s="54">
        <v>2421</v>
      </c>
      <c r="H37"/>
      <c r="I37"/>
    </row>
    <row r="38" spans="2:9" ht="13" hidden="1" outlineLevel="1" x14ac:dyDescent="0.3">
      <c r="F38" s="72" t="s">
        <v>237</v>
      </c>
      <c r="G38" s="54">
        <v>500</v>
      </c>
      <c r="H38"/>
      <c r="I38"/>
    </row>
    <row r="39" spans="2:9" ht="13" hidden="1" outlineLevel="1" x14ac:dyDescent="0.3">
      <c r="F39" s="72" t="s">
        <v>240</v>
      </c>
      <c r="G39" s="54">
        <v>824</v>
      </c>
    </row>
    <row r="40" spans="2:9" ht="13" hidden="1" outlineLevel="1" x14ac:dyDescent="0.3">
      <c r="F40" s="72" t="s">
        <v>242</v>
      </c>
      <c r="G40" s="54">
        <v>506</v>
      </c>
    </row>
    <row r="41" spans="2:9" ht="13" hidden="1" outlineLevel="1" x14ac:dyDescent="0.3">
      <c r="F41" s="72" t="s">
        <v>243</v>
      </c>
      <c r="G41" s="54">
        <v>591</v>
      </c>
    </row>
    <row r="42" spans="2:9" ht="13" hidden="1" outlineLevel="1" x14ac:dyDescent="0.3">
      <c r="F42" s="51" t="s">
        <v>232</v>
      </c>
      <c r="G42" s="54">
        <v>6765</v>
      </c>
    </row>
    <row r="43" spans="2:9" hidden="1" outlineLevel="1" x14ac:dyDescent="0.25"/>
    <row r="44" spans="2:9" hidden="1" outlineLevel="1" x14ac:dyDescent="0.25"/>
    <row r="45" spans="2:9" hidden="1" outlineLevel="1" x14ac:dyDescent="0.25"/>
    <row r="46" spans="2:9" hidden="1" outlineLevel="1" x14ac:dyDescent="0.25"/>
    <row r="47" spans="2:9" ht="18.5" collapsed="1" x14ac:dyDescent="0.45">
      <c r="B47" s="5" t="s">
        <v>289</v>
      </c>
    </row>
    <row r="49" spans="2:11" ht="13" hidden="1" outlineLevel="1" x14ac:dyDescent="0.3">
      <c r="B49"/>
      <c r="C49"/>
      <c r="D49"/>
      <c r="E49"/>
      <c r="F49" s="46" t="s">
        <v>290</v>
      </c>
      <c r="G49"/>
      <c r="H49"/>
      <c r="I49"/>
      <c r="K49"/>
    </row>
    <row r="50" spans="2:11" ht="13" hidden="1" outlineLevel="1" x14ac:dyDescent="0.3">
      <c r="B50"/>
      <c r="C50"/>
      <c r="D50"/>
      <c r="E50"/>
      <c r="F50" s="50" t="s">
        <v>8</v>
      </c>
      <c r="G50" t="s">
        <v>234</v>
      </c>
      <c r="H50"/>
      <c r="I50"/>
      <c r="K50"/>
    </row>
    <row r="51" spans="2:11" ht="13" hidden="1" outlineLevel="1" x14ac:dyDescent="0.3">
      <c r="B51"/>
      <c r="C51"/>
      <c r="D51"/>
      <c r="E51"/>
      <c r="F51" s="51" t="s">
        <v>17</v>
      </c>
      <c r="G51" s="63">
        <v>3016</v>
      </c>
      <c r="H51"/>
      <c r="I51"/>
      <c r="J51"/>
      <c r="K51"/>
    </row>
    <row r="52" spans="2:11" ht="13" hidden="1" outlineLevel="1" x14ac:dyDescent="0.3">
      <c r="B52"/>
      <c r="C52"/>
      <c r="D52"/>
      <c r="E52"/>
      <c r="F52" s="72" t="s">
        <v>245</v>
      </c>
      <c r="G52" s="63">
        <v>3016</v>
      </c>
      <c r="H52"/>
      <c r="I52"/>
      <c r="J52"/>
      <c r="K52"/>
    </row>
    <row r="53" spans="2:11" ht="13" hidden="1" outlineLevel="1" x14ac:dyDescent="0.3">
      <c r="B53"/>
      <c r="C53"/>
      <c r="D53"/>
      <c r="E53"/>
      <c r="F53" s="51" t="s">
        <v>21</v>
      </c>
      <c r="G53" s="63">
        <v>2856.5</v>
      </c>
      <c r="H53"/>
      <c r="I53"/>
      <c r="J53"/>
      <c r="K53"/>
    </row>
    <row r="54" spans="2:11" ht="13" hidden="1" outlineLevel="1" x14ac:dyDescent="0.3">
      <c r="B54"/>
      <c r="C54"/>
      <c r="D54"/>
      <c r="E54"/>
      <c r="F54" s="72" t="s">
        <v>245</v>
      </c>
      <c r="G54" s="63">
        <v>2856.5</v>
      </c>
      <c r="H54"/>
      <c r="I54"/>
      <c r="J54"/>
      <c r="K54"/>
    </row>
    <row r="55" spans="2:11" ht="13" hidden="1" outlineLevel="1" x14ac:dyDescent="0.3">
      <c r="B55"/>
      <c r="C55"/>
      <c r="D55"/>
      <c r="E55"/>
      <c r="F55" s="51" t="s">
        <v>27</v>
      </c>
      <c r="G55" s="63">
        <v>2845.59</v>
      </c>
      <c r="H55"/>
      <c r="I55"/>
      <c r="J55"/>
      <c r="K55"/>
    </row>
    <row r="56" spans="2:11" ht="13" hidden="1" outlineLevel="1" x14ac:dyDescent="0.3">
      <c r="B56"/>
      <c r="C56"/>
      <c r="D56"/>
      <c r="E56"/>
      <c r="F56" s="72" t="s">
        <v>242</v>
      </c>
      <c r="G56" s="63">
        <v>409.59000000000003</v>
      </c>
      <c r="H56"/>
      <c r="I56"/>
      <c r="J56"/>
      <c r="K56"/>
    </row>
    <row r="57" spans="2:11" ht="13" hidden="1" outlineLevel="1" x14ac:dyDescent="0.3">
      <c r="B57"/>
      <c r="C57"/>
      <c r="D57"/>
      <c r="E57"/>
      <c r="F57" s="72" t="s">
        <v>245</v>
      </c>
      <c r="G57" s="63">
        <v>2436</v>
      </c>
      <c r="H57"/>
      <c r="I57"/>
      <c r="J57"/>
      <c r="K57"/>
    </row>
    <row r="58" spans="2:11" ht="13" hidden="1" outlineLevel="1" x14ac:dyDescent="0.3">
      <c r="B58"/>
      <c r="C58"/>
      <c r="D58"/>
      <c r="E58"/>
      <c r="F58" s="51" t="s">
        <v>35</v>
      </c>
      <c r="G58" s="63">
        <v>2628.2699999999995</v>
      </c>
      <c r="H58"/>
      <c r="I58"/>
      <c r="J58"/>
      <c r="K58"/>
    </row>
    <row r="59" spans="2:11" ht="13" hidden="1" outlineLevel="1" x14ac:dyDescent="0.3">
      <c r="B59"/>
      <c r="C59"/>
      <c r="D59"/>
      <c r="E59"/>
      <c r="F59" s="72" t="s">
        <v>240</v>
      </c>
      <c r="G59" s="63">
        <v>490.5</v>
      </c>
      <c r="H59"/>
      <c r="I59"/>
      <c r="J59"/>
      <c r="K59"/>
    </row>
    <row r="60" spans="2:11" ht="13" hidden="1" outlineLevel="1" x14ac:dyDescent="0.3">
      <c r="B60"/>
      <c r="C60"/>
      <c r="D60"/>
      <c r="E60"/>
      <c r="F60" s="72" t="s">
        <v>242</v>
      </c>
      <c r="G60" s="63">
        <v>1928.07</v>
      </c>
      <c r="H60"/>
      <c r="I60"/>
      <c r="J60"/>
      <c r="K60"/>
    </row>
    <row r="61" spans="2:11" ht="13" hidden="1" outlineLevel="1" x14ac:dyDescent="0.3">
      <c r="B61"/>
      <c r="C61"/>
      <c r="D61"/>
      <c r="E61"/>
      <c r="F61" s="72" t="s">
        <v>244</v>
      </c>
      <c r="G61" s="63">
        <v>209.70000000000002</v>
      </c>
      <c r="H61"/>
      <c r="I61"/>
      <c r="J61"/>
      <c r="K61"/>
    </row>
    <row r="62" spans="2:11" ht="13" hidden="1" outlineLevel="1" x14ac:dyDescent="0.3">
      <c r="B62"/>
      <c r="C62"/>
      <c r="D62"/>
      <c r="E62"/>
      <c r="F62" s="51" t="s">
        <v>24</v>
      </c>
      <c r="G62" s="63">
        <v>2552</v>
      </c>
      <c r="H62"/>
      <c r="I62"/>
      <c r="J62"/>
      <c r="K62"/>
    </row>
    <row r="63" spans="2:11" ht="13" hidden="1" outlineLevel="1" x14ac:dyDescent="0.3">
      <c r="B63"/>
      <c r="C63"/>
      <c r="D63"/>
      <c r="E63"/>
      <c r="F63" s="72" t="s">
        <v>245</v>
      </c>
      <c r="G63" s="63">
        <v>2552</v>
      </c>
      <c r="H63"/>
      <c r="I63"/>
      <c r="J63"/>
      <c r="K63"/>
    </row>
    <row r="64" spans="2:11" ht="13" hidden="1" outlineLevel="1" x14ac:dyDescent="0.3">
      <c r="B64"/>
      <c r="C64"/>
      <c r="D64"/>
      <c r="E64"/>
      <c r="F64" s="51" t="s">
        <v>232</v>
      </c>
      <c r="G64" s="63">
        <v>13898.36</v>
      </c>
      <c r="H64"/>
      <c r="I64"/>
      <c r="J64"/>
      <c r="K64"/>
    </row>
    <row r="65" spans="2:11" ht="13" hidden="1" outlineLevel="1" x14ac:dyDescent="0.3">
      <c r="B65"/>
      <c r="C65"/>
      <c r="D65"/>
      <c r="E65"/>
      <c r="F65"/>
      <c r="G65"/>
      <c r="H65"/>
      <c r="I65"/>
      <c r="J65"/>
      <c r="K65"/>
    </row>
    <row r="66" spans="2:11" ht="13" hidden="1" outlineLevel="1" x14ac:dyDescent="0.3">
      <c r="J66"/>
      <c r="K66"/>
    </row>
    <row r="67" spans="2:11" ht="13" hidden="1" outlineLevel="1" x14ac:dyDescent="0.3">
      <c r="J67"/>
    </row>
    <row r="68" spans="2:11" ht="13" hidden="1" outlineLevel="1" x14ac:dyDescent="0.3">
      <c r="F68"/>
      <c r="G68"/>
      <c r="H68"/>
      <c r="I68"/>
      <c r="J68"/>
      <c r="K68"/>
    </row>
    <row r="69" spans="2:11" ht="13" collapsed="1" x14ac:dyDescent="0.3">
      <c r="F69"/>
      <c r="G69"/>
    </row>
    <row r="70" spans="2:11" ht="13" x14ac:dyDescent="0.3">
      <c r="F70"/>
      <c r="G70"/>
    </row>
    <row r="71" spans="2:11" ht="13" x14ac:dyDescent="0.3">
      <c r="F71"/>
      <c r="G71"/>
    </row>
    <row r="72" spans="2:11" ht="13" x14ac:dyDescent="0.3">
      <c r="F72"/>
      <c r="G72"/>
    </row>
    <row r="73" spans="2:11" ht="13" x14ac:dyDescent="0.3">
      <c r="F73"/>
      <c r="G73"/>
    </row>
    <row r="74" spans="2:11" ht="13" x14ac:dyDescent="0.3">
      <c r="F74"/>
      <c r="G74"/>
    </row>
    <row r="75" spans="2:11" ht="13" x14ac:dyDescent="0.3">
      <c r="F75"/>
      <c r="G75"/>
    </row>
    <row r="76" spans="2:11" ht="13" x14ac:dyDescent="0.3">
      <c r="F76"/>
      <c r="G76"/>
    </row>
    <row r="77" spans="2:11" ht="13" x14ac:dyDescent="0.3">
      <c r="F77"/>
      <c r="G77"/>
    </row>
    <row r="78" spans="2:11" ht="13" x14ac:dyDescent="0.3">
      <c r="F78"/>
      <c r="G78"/>
    </row>
    <row r="79" spans="2:11" ht="13" x14ac:dyDescent="0.3">
      <c r="F79"/>
      <c r="G79"/>
    </row>
    <row r="80" spans="2:11" ht="13" x14ac:dyDescent="0.3">
      <c r="F80"/>
      <c r="G80"/>
    </row>
    <row r="81" spans="6:7" ht="13" x14ac:dyDescent="0.3">
      <c r="F81"/>
      <c r="G81"/>
    </row>
    <row r="82" spans="6:7" ht="13" x14ac:dyDescent="0.3">
      <c r="F82"/>
      <c r="G82"/>
    </row>
    <row r="83" spans="6:7" ht="13" x14ac:dyDescent="0.3">
      <c r="F83"/>
      <c r="G83"/>
    </row>
    <row r="84" spans="6:7" ht="13" x14ac:dyDescent="0.3">
      <c r="F84"/>
      <c r="G84"/>
    </row>
    <row r="85" spans="6:7" ht="13" x14ac:dyDescent="0.3">
      <c r="F85"/>
      <c r="G85"/>
    </row>
    <row r="86" spans="6:7" ht="13" x14ac:dyDescent="0.3">
      <c r="F86"/>
      <c r="G86"/>
    </row>
    <row r="87" spans="6:7" ht="13" x14ac:dyDescent="0.3">
      <c r="F87"/>
      <c r="G87"/>
    </row>
    <row r="88" spans="6:7" ht="13" x14ac:dyDescent="0.3">
      <c r="F88"/>
      <c r="G88"/>
    </row>
    <row r="89" spans="6:7" ht="13" x14ac:dyDescent="0.3">
      <c r="F89"/>
      <c r="G89"/>
    </row>
    <row r="90" spans="6:7" ht="13" x14ac:dyDescent="0.3">
      <c r="F90"/>
      <c r="G90"/>
    </row>
    <row r="91" spans="6:7" ht="13" x14ac:dyDescent="0.3">
      <c r="F91"/>
      <c r="G91"/>
    </row>
    <row r="92" spans="6:7" ht="13" x14ac:dyDescent="0.3">
      <c r="F92"/>
      <c r="G92"/>
    </row>
    <row r="93" spans="6:7" ht="13" x14ac:dyDescent="0.3">
      <c r="F93"/>
      <c r="G93"/>
    </row>
    <row r="94" spans="6:7" ht="13" x14ac:dyDescent="0.3">
      <c r="F94"/>
      <c r="G94"/>
    </row>
    <row r="95" spans="6:7" ht="13" x14ac:dyDescent="0.3">
      <c r="F95"/>
      <c r="G95"/>
    </row>
    <row r="96" spans="6:7" ht="13" x14ac:dyDescent="0.3">
      <c r="F96"/>
      <c r="G96"/>
    </row>
    <row r="97" spans="6:7" ht="13" x14ac:dyDescent="0.3">
      <c r="F97"/>
      <c r="G97"/>
    </row>
    <row r="98" spans="6:7" ht="13" x14ac:dyDescent="0.3">
      <c r="F98"/>
      <c r="G98"/>
    </row>
    <row r="99" spans="6:7" ht="13" x14ac:dyDescent="0.3">
      <c r="F99"/>
      <c r="G99"/>
    </row>
    <row r="100" spans="6:7" ht="13" x14ac:dyDescent="0.3">
      <c r="F100"/>
      <c r="G100"/>
    </row>
    <row r="101" spans="6:7" ht="13" x14ac:dyDescent="0.3">
      <c r="F101"/>
      <c r="G101"/>
    </row>
    <row r="102" spans="6:7" ht="13" x14ac:dyDescent="0.3">
      <c r="F102"/>
      <c r="G102"/>
    </row>
    <row r="103" spans="6:7" ht="13" x14ac:dyDescent="0.3">
      <c r="F103"/>
      <c r="G103"/>
    </row>
    <row r="104" spans="6:7" ht="13" x14ac:dyDescent="0.3">
      <c r="F104"/>
      <c r="G104"/>
    </row>
    <row r="105" spans="6:7" ht="13" x14ac:dyDescent="0.3">
      <c r="F105"/>
      <c r="G105"/>
    </row>
    <row r="106" spans="6:7" ht="13" x14ac:dyDescent="0.3">
      <c r="F106"/>
      <c r="G106"/>
    </row>
    <row r="107" spans="6:7" ht="13" x14ac:dyDescent="0.3">
      <c r="F107"/>
      <c r="G107"/>
    </row>
    <row r="108" spans="6:7" ht="13" x14ac:dyDescent="0.3">
      <c r="F108"/>
      <c r="G108"/>
    </row>
    <row r="109" spans="6:7" ht="13" x14ac:dyDescent="0.3">
      <c r="F109"/>
      <c r="G109"/>
    </row>
    <row r="110" spans="6:7" ht="13" x14ac:dyDescent="0.3">
      <c r="F110"/>
      <c r="G110"/>
    </row>
    <row r="111" spans="6:7" ht="13" x14ac:dyDescent="0.3">
      <c r="F111"/>
      <c r="G111"/>
    </row>
    <row r="112" spans="6:7" ht="13" x14ac:dyDescent="0.3">
      <c r="F112"/>
      <c r="G112"/>
    </row>
    <row r="113" spans="6:7" ht="13" x14ac:dyDescent="0.3">
      <c r="F113"/>
      <c r="G113"/>
    </row>
    <row r="114" spans="6:7" ht="13" x14ac:dyDescent="0.3">
      <c r="F114"/>
      <c r="G114"/>
    </row>
    <row r="115" spans="6:7" ht="13" x14ac:dyDescent="0.3">
      <c r="F115"/>
      <c r="G115"/>
    </row>
    <row r="116" spans="6:7" ht="13" x14ac:dyDescent="0.3">
      <c r="F116"/>
      <c r="G116"/>
    </row>
    <row r="117" spans="6:7" ht="13" x14ac:dyDescent="0.3">
      <c r="F117"/>
      <c r="G117"/>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1265" r:id="rId7" name="Button 1">
              <controlPr defaultSize="0" print="0" autoFill="0" autoPict="0" macro="[0]!ThisWorkbook.Sorting_Send_To_Answer_1">
                <anchor moveWithCells="1" sizeWithCells="1">
                  <from>
                    <xdr:col>9</xdr:col>
                    <xdr:colOff>850900</xdr:colOff>
                    <xdr:row>10</xdr:row>
                    <xdr:rowOff>146050</xdr:rowOff>
                  </from>
                  <to>
                    <xdr:col>12</xdr:col>
                    <xdr:colOff>317500</xdr:colOff>
                    <xdr:row>14</xdr:row>
                    <xdr:rowOff>31750</xdr:rowOff>
                  </to>
                </anchor>
              </controlPr>
            </control>
          </mc:Choice>
        </mc:AlternateContent>
        <mc:AlternateContent xmlns:mc="http://schemas.openxmlformats.org/markup-compatibility/2006">
          <mc:Choice Requires="x14">
            <control shapeId="11266" r:id="rId8" name="Button 2">
              <controlPr defaultSize="0" print="0" autoFill="0" autoPict="0" macro="[0]!ThisWorkbook.Sorting_Send_To_Answer_2">
                <anchor moveWithCells="1" sizeWithCells="1">
                  <from>
                    <xdr:col>9</xdr:col>
                    <xdr:colOff>876300</xdr:colOff>
                    <xdr:row>25</xdr:row>
                    <xdr:rowOff>31750</xdr:rowOff>
                  </from>
                  <to>
                    <xdr:col>12</xdr:col>
                    <xdr:colOff>355600</xdr:colOff>
                    <xdr:row>28</xdr:row>
                    <xdr:rowOff>50800</xdr:rowOff>
                  </to>
                </anchor>
              </controlPr>
            </control>
          </mc:Choice>
        </mc:AlternateContent>
        <mc:AlternateContent xmlns:mc="http://schemas.openxmlformats.org/markup-compatibility/2006">
          <mc:Choice Requires="x14">
            <control shapeId="11267" r:id="rId9" name="Button 3">
              <controlPr defaultSize="0" print="0" autoFill="0" autoPict="0" macro="[0]!ThisWorkbook.Sorting_Send_To_Answer_3">
                <anchor moveWithCells="1" sizeWithCells="1">
                  <from>
                    <xdr:col>9</xdr:col>
                    <xdr:colOff>850900</xdr:colOff>
                    <xdr:row>49</xdr:row>
                    <xdr:rowOff>107950</xdr:rowOff>
                  </from>
                  <to>
                    <xdr:col>12</xdr:col>
                    <xdr:colOff>317500</xdr:colOff>
                    <xdr:row>52</xdr:row>
                    <xdr:rowOff>127000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tint="0.39997558519241921"/>
  </sheetPr>
  <dimension ref="A1:S171"/>
  <sheetViews>
    <sheetView showGridLines="0" topLeftCell="A31" zoomScale="80" workbookViewId="0">
      <selection activeCell="L51" sqref="L51"/>
    </sheetView>
  </sheetViews>
  <sheetFormatPr defaultColWidth="9.33203125" defaultRowHeight="12.5" outlineLevelRow="1" x14ac:dyDescent="0.25"/>
  <cols>
    <col min="1" max="5" width="9.33203125" style="2"/>
    <col min="6" max="6" width="31.33203125" style="2" customWidth="1"/>
    <col min="7" max="7" width="20.77734375" style="2" customWidth="1"/>
    <col min="8" max="8" width="15.33203125" style="2" bestFit="1" customWidth="1"/>
    <col min="9" max="9" width="14.33203125" style="2" bestFit="1" customWidth="1"/>
    <col min="10" max="10" width="15.77734375" style="2" bestFit="1" customWidth="1"/>
    <col min="11" max="11" width="9.33203125" style="2" customWidth="1"/>
    <col min="12" max="12" width="9.33203125" style="2" bestFit="1" customWidth="1"/>
    <col min="13" max="16" width="9.33203125" style="2"/>
    <col min="17" max="17" width="18.6640625" style="2" customWidth="1"/>
    <col min="18" max="18" width="20.77734375" style="2" customWidth="1"/>
    <col min="19" max="19" width="20.77734375" style="2" bestFit="1" customWidth="1"/>
    <col min="20" max="16384" width="9.33203125" style="2"/>
  </cols>
  <sheetData>
    <row r="1" spans="1:18" ht="13" x14ac:dyDescent="0.3">
      <c r="A1" s="3" t="str">
        <f>Introduction!A1</f>
        <v>Problem Solving with Excel</v>
      </c>
    </row>
    <row r="2" spans="1:18" ht="13" x14ac:dyDescent="0.3">
      <c r="A2" s="3" t="str">
        <f>Introduction!A2</f>
        <v>Week 3</v>
      </c>
    </row>
    <row r="3" spans="1:18" ht="13" x14ac:dyDescent="0.3">
      <c r="A3" s="3" t="str">
        <f>Introduction!A3</f>
        <v>Pivot Tables</v>
      </c>
    </row>
    <row r="4" spans="1:18" ht="13" x14ac:dyDescent="0.3">
      <c r="A4" s="3" t="str">
        <f ca="1">MID(CELL("Filename",I7),SEARCH("]",CELL("Filename",I7),1)+1,100)</f>
        <v>Section 4 - Sorting (ANS)</v>
      </c>
    </row>
    <row r="5" spans="1:18" x14ac:dyDescent="0.25">
      <c r="P5" s="6"/>
    </row>
    <row r="6" spans="1:18" ht="13" x14ac:dyDescent="0.3">
      <c r="Q6"/>
      <c r="R6"/>
    </row>
    <row r="7" spans="1:18" ht="18.5" x14ac:dyDescent="0.45">
      <c r="B7" s="5" t="s">
        <v>286</v>
      </c>
    </row>
    <row r="8" spans="1:18" ht="13" outlineLevel="1" x14ac:dyDescent="0.3">
      <c r="F8" s="46" t="s">
        <v>291</v>
      </c>
      <c r="G8"/>
      <c r="K8"/>
      <c r="L8"/>
      <c r="M8"/>
    </row>
    <row r="9" spans="1:18" ht="13" outlineLevel="1" x14ac:dyDescent="0.3">
      <c r="F9" s="50" t="s">
        <v>8</v>
      </c>
      <c r="G9" t="s">
        <v>80</v>
      </c>
      <c r="H9"/>
      <c r="I9"/>
      <c r="J9"/>
      <c r="K9"/>
      <c r="L9"/>
      <c r="M9"/>
    </row>
    <row r="10" spans="1:18" ht="13" outlineLevel="1" x14ac:dyDescent="0.3">
      <c r="F10"/>
      <c r="G10"/>
      <c r="H10"/>
      <c r="I10"/>
      <c r="J10"/>
      <c r="K10"/>
      <c r="L10"/>
      <c r="M10"/>
    </row>
    <row r="11" spans="1:18" ht="13" outlineLevel="1" x14ac:dyDescent="0.3">
      <c r="F11" s="50" t="s">
        <v>249</v>
      </c>
      <c r="G11" t="s">
        <v>234</v>
      </c>
      <c r="H11"/>
      <c r="I11"/>
      <c r="J11"/>
      <c r="K11"/>
      <c r="L11"/>
      <c r="M11"/>
    </row>
    <row r="12" spans="1:18" ht="13" outlineLevel="1" x14ac:dyDescent="0.3">
      <c r="F12" s="51" t="s">
        <v>106</v>
      </c>
      <c r="G12" s="55">
        <v>682.5</v>
      </c>
      <c r="H12"/>
      <c r="I12"/>
      <c r="J12"/>
      <c r="K12"/>
      <c r="L12"/>
      <c r="M12"/>
    </row>
    <row r="13" spans="1:18" ht="13" outlineLevel="1" x14ac:dyDescent="0.3">
      <c r="F13" s="51" t="s">
        <v>79</v>
      </c>
      <c r="G13" s="55">
        <v>949.05000000000007</v>
      </c>
      <c r="H13"/>
      <c r="I13"/>
      <c r="J13"/>
      <c r="K13"/>
      <c r="L13"/>
      <c r="M13"/>
    </row>
    <row r="14" spans="1:18" ht="13" outlineLevel="1" x14ac:dyDescent="0.3">
      <c r="F14" s="51" t="s">
        <v>157</v>
      </c>
      <c r="G14" s="55">
        <v>474.5</v>
      </c>
      <c r="H14"/>
      <c r="I14"/>
      <c r="J14"/>
      <c r="K14"/>
      <c r="L14"/>
      <c r="M14"/>
    </row>
    <row r="15" spans="1:18" ht="13" outlineLevel="1" x14ac:dyDescent="0.3">
      <c r="F15" s="51" t="s">
        <v>232</v>
      </c>
      <c r="G15" s="55">
        <v>2106.0500000000002</v>
      </c>
      <c r="H15"/>
      <c r="I15"/>
      <c r="J15"/>
      <c r="K15"/>
      <c r="L15"/>
      <c r="M15"/>
      <c r="Q15"/>
      <c r="R15"/>
    </row>
    <row r="16" spans="1:18" ht="13" outlineLevel="1" x14ac:dyDescent="0.3">
      <c r="F16"/>
      <c r="G16"/>
      <c r="H16"/>
      <c r="I16"/>
      <c r="J16"/>
      <c r="K16"/>
      <c r="L16"/>
      <c r="M16"/>
      <c r="Q16"/>
      <c r="R16"/>
    </row>
    <row r="17" spans="2:19" ht="13" outlineLevel="1" x14ac:dyDescent="0.3">
      <c r="I17"/>
      <c r="J17"/>
      <c r="K17"/>
      <c r="L17"/>
      <c r="M17"/>
      <c r="Q17"/>
      <c r="R17"/>
    </row>
    <row r="18" spans="2:19" ht="13" outlineLevel="1" x14ac:dyDescent="0.3">
      <c r="I18"/>
      <c r="J18"/>
      <c r="K18"/>
      <c r="L18"/>
      <c r="M18"/>
      <c r="Q18"/>
      <c r="R18"/>
    </row>
    <row r="19" spans="2:19" ht="13" outlineLevel="1" x14ac:dyDescent="0.3">
      <c r="F19"/>
      <c r="G19"/>
      <c r="H19"/>
      <c r="I19"/>
      <c r="J19"/>
      <c r="K19"/>
      <c r="L19"/>
      <c r="M19"/>
      <c r="Q19"/>
      <c r="R19"/>
    </row>
    <row r="20" spans="2:19" ht="13" outlineLevel="1" x14ac:dyDescent="0.3">
      <c r="K20"/>
      <c r="L20"/>
      <c r="M20"/>
      <c r="Q20"/>
      <c r="R20"/>
    </row>
    <row r="21" spans="2:19" ht="13" outlineLevel="1" x14ac:dyDescent="0.3">
      <c r="K21"/>
      <c r="L21"/>
      <c r="M21"/>
      <c r="Q21"/>
      <c r="R21"/>
    </row>
    <row r="22" spans="2:19" ht="13" outlineLevel="1" x14ac:dyDescent="0.3">
      <c r="K22"/>
      <c r="L22"/>
      <c r="M22"/>
      <c r="Q22"/>
      <c r="R22"/>
    </row>
    <row r="23" spans="2:19" ht="13" outlineLevel="1" x14ac:dyDescent="0.3">
      <c r="K23"/>
      <c r="L23"/>
      <c r="M23"/>
      <c r="Q23"/>
      <c r="R23"/>
    </row>
    <row r="24" spans="2:19" ht="18.5" x14ac:dyDescent="0.45">
      <c r="B24" s="5" t="s">
        <v>292</v>
      </c>
      <c r="Q24"/>
      <c r="R24"/>
    </row>
    <row r="25" spans="2:19" ht="13" outlineLevel="1" x14ac:dyDescent="0.3">
      <c r="F25" s="46" t="s">
        <v>293</v>
      </c>
      <c r="Q25"/>
      <c r="R25"/>
    </row>
    <row r="26" spans="2:19" ht="13" outlineLevel="1" x14ac:dyDescent="0.3">
      <c r="F26" s="50" t="s">
        <v>250</v>
      </c>
      <c r="G26" t="s">
        <v>246</v>
      </c>
      <c r="H26"/>
      <c r="I26"/>
      <c r="Q26"/>
      <c r="R26"/>
    </row>
    <row r="27" spans="2:19" ht="13" outlineLevel="1" x14ac:dyDescent="0.3">
      <c r="F27" s="51" t="s">
        <v>19</v>
      </c>
      <c r="G27" s="54">
        <v>3302</v>
      </c>
      <c r="H27"/>
      <c r="I27"/>
      <c r="Q27"/>
      <c r="R27"/>
    </row>
    <row r="28" spans="2:19" ht="13" outlineLevel="1" x14ac:dyDescent="0.3">
      <c r="F28" s="72" t="s">
        <v>237</v>
      </c>
      <c r="G28" s="54">
        <v>1265</v>
      </c>
      <c r="H28"/>
      <c r="I28"/>
      <c r="S28"/>
    </row>
    <row r="29" spans="2:19" ht="13" outlineLevel="1" x14ac:dyDescent="0.3">
      <c r="F29" s="72" t="s">
        <v>239</v>
      </c>
      <c r="G29" s="54">
        <v>874</v>
      </c>
      <c r="H29"/>
      <c r="I29"/>
      <c r="S29"/>
    </row>
    <row r="30" spans="2:19" ht="13" outlineLevel="1" x14ac:dyDescent="0.3">
      <c r="F30" s="72" t="s">
        <v>238</v>
      </c>
      <c r="G30" s="54">
        <v>583</v>
      </c>
      <c r="H30"/>
      <c r="I30"/>
      <c r="S30"/>
    </row>
    <row r="31" spans="2:19" ht="13" outlineLevel="1" x14ac:dyDescent="0.3">
      <c r="F31" s="72" t="s">
        <v>245</v>
      </c>
      <c r="G31" s="54">
        <v>580</v>
      </c>
      <c r="H31"/>
      <c r="I31"/>
      <c r="S31"/>
    </row>
    <row r="32" spans="2:19" ht="13" outlineLevel="1" x14ac:dyDescent="0.3">
      <c r="F32" s="51" t="s">
        <v>25</v>
      </c>
      <c r="G32" s="54">
        <v>2421</v>
      </c>
      <c r="H32"/>
      <c r="I32"/>
      <c r="S32"/>
    </row>
    <row r="33" spans="6:19" ht="13" outlineLevel="1" x14ac:dyDescent="0.3">
      <c r="F33" s="72" t="s">
        <v>240</v>
      </c>
      <c r="G33" s="54">
        <v>824</v>
      </c>
      <c r="H33"/>
      <c r="I33"/>
      <c r="Q33"/>
      <c r="R33"/>
      <c r="S33"/>
    </row>
    <row r="34" spans="6:19" ht="13" outlineLevel="1" x14ac:dyDescent="0.3">
      <c r="F34" s="72" t="s">
        <v>243</v>
      </c>
      <c r="G34" s="54">
        <v>591</v>
      </c>
      <c r="H34"/>
      <c r="I34"/>
      <c r="Q34"/>
      <c r="R34"/>
      <c r="S34"/>
    </row>
    <row r="35" spans="6:19" ht="13" outlineLevel="1" x14ac:dyDescent="0.3">
      <c r="F35" s="72" t="s">
        <v>242</v>
      </c>
      <c r="G35" s="54">
        <v>506</v>
      </c>
      <c r="H35"/>
      <c r="I35"/>
      <c r="Q35"/>
      <c r="R35"/>
      <c r="S35"/>
    </row>
    <row r="36" spans="6:19" ht="13" outlineLevel="1" x14ac:dyDescent="0.3">
      <c r="F36" s="72" t="s">
        <v>237</v>
      </c>
      <c r="G36" s="54">
        <v>500</v>
      </c>
      <c r="H36"/>
      <c r="I36"/>
      <c r="Q36"/>
      <c r="R36"/>
      <c r="S36"/>
    </row>
    <row r="37" spans="6:19" ht="13" outlineLevel="1" x14ac:dyDescent="0.3">
      <c r="F37" s="51" t="s">
        <v>22</v>
      </c>
      <c r="G37" s="54">
        <v>1042</v>
      </c>
      <c r="H37"/>
      <c r="I37"/>
      <c r="Q37"/>
      <c r="R37"/>
      <c r="S37"/>
    </row>
    <row r="38" spans="6:19" ht="13" outlineLevel="1" x14ac:dyDescent="0.3">
      <c r="F38" s="72" t="s">
        <v>240</v>
      </c>
      <c r="G38" s="54">
        <v>411</v>
      </c>
      <c r="H38"/>
      <c r="I38"/>
      <c r="Q38"/>
      <c r="R38"/>
      <c r="S38"/>
    </row>
    <row r="39" spans="6:19" ht="13" outlineLevel="1" x14ac:dyDescent="0.3">
      <c r="F39" s="72" t="s">
        <v>245</v>
      </c>
      <c r="G39" s="54">
        <v>365</v>
      </c>
      <c r="Q39"/>
      <c r="R39"/>
      <c r="S39"/>
    </row>
    <row r="40" spans="6:19" ht="13" outlineLevel="1" x14ac:dyDescent="0.3">
      <c r="F40" s="72" t="s">
        <v>242</v>
      </c>
      <c r="G40" s="54">
        <v>141</v>
      </c>
      <c r="Q40"/>
      <c r="R40"/>
    </row>
    <row r="41" spans="6:19" ht="13" outlineLevel="1" x14ac:dyDescent="0.3">
      <c r="F41" s="72" t="s">
        <v>235</v>
      </c>
      <c r="G41" s="54">
        <v>125</v>
      </c>
      <c r="Q41"/>
      <c r="R41"/>
    </row>
    <row r="42" spans="6:19" ht="13" outlineLevel="1" x14ac:dyDescent="0.3">
      <c r="F42" s="51" t="s">
        <v>232</v>
      </c>
      <c r="G42" s="54">
        <v>6765</v>
      </c>
      <c r="Q42"/>
      <c r="R42"/>
    </row>
    <row r="43" spans="6:19" ht="13" outlineLevel="1" x14ac:dyDescent="0.3">
      <c r="Q43"/>
      <c r="R43"/>
    </row>
    <row r="44" spans="6:19" ht="13" outlineLevel="1" x14ac:dyDescent="0.3">
      <c r="Q44"/>
      <c r="R44"/>
    </row>
    <row r="45" spans="6:19" ht="13" outlineLevel="1" x14ac:dyDescent="0.3">
      <c r="Q45"/>
      <c r="R45"/>
    </row>
    <row r="46" spans="6:19" ht="13" outlineLevel="1" x14ac:dyDescent="0.3">
      <c r="Q46"/>
      <c r="R46"/>
    </row>
    <row r="47" spans="6:19" ht="13" outlineLevel="1" x14ac:dyDescent="0.3">
      <c r="Q47"/>
      <c r="R47"/>
    </row>
    <row r="48" spans="6:19" ht="13" outlineLevel="1" x14ac:dyDescent="0.3">
      <c r="Q48"/>
      <c r="R48"/>
    </row>
    <row r="49" spans="2:19" ht="18.5" x14ac:dyDescent="0.45">
      <c r="B49" s="5" t="s">
        <v>289</v>
      </c>
      <c r="Q49"/>
      <c r="R49"/>
    </row>
    <row r="50" spans="2:19" ht="13" outlineLevel="1" x14ac:dyDescent="0.3">
      <c r="F50" s="46" t="s">
        <v>294</v>
      </c>
      <c r="G50"/>
      <c r="Q50"/>
      <c r="R50"/>
    </row>
    <row r="51" spans="2:19" ht="13" outlineLevel="1" x14ac:dyDescent="0.3">
      <c r="B51"/>
      <c r="C51"/>
      <c r="D51"/>
      <c r="E51"/>
      <c r="F51" s="50" t="s">
        <v>8</v>
      </c>
      <c r="G51" t="s">
        <v>234</v>
      </c>
      <c r="M51"/>
      <c r="N51"/>
      <c r="Q51"/>
      <c r="R51"/>
    </row>
    <row r="52" spans="2:19" ht="13" outlineLevel="1" x14ac:dyDescent="0.3">
      <c r="B52"/>
      <c r="C52"/>
      <c r="D52"/>
      <c r="E52"/>
      <c r="F52" s="51" t="s">
        <v>17</v>
      </c>
      <c r="G52" s="53">
        <v>3016</v>
      </c>
      <c r="M52"/>
      <c r="N52"/>
      <c r="Q52"/>
      <c r="R52"/>
    </row>
    <row r="53" spans="2:19" ht="13" outlineLevel="1" x14ac:dyDescent="0.3">
      <c r="B53"/>
      <c r="C53"/>
      <c r="D53"/>
      <c r="E53"/>
      <c r="F53" s="72" t="s">
        <v>245</v>
      </c>
      <c r="G53" s="53">
        <v>3016</v>
      </c>
      <c r="M53"/>
      <c r="N53"/>
      <c r="Q53"/>
      <c r="R53"/>
    </row>
    <row r="54" spans="2:19" ht="13" outlineLevel="1" x14ac:dyDescent="0.3">
      <c r="B54"/>
      <c r="C54"/>
      <c r="D54"/>
      <c r="E54"/>
      <c r="F54" s="51" t="s">
        <v>21</v>
      </c>
      <c r="G54" s="53">
        <v>2856.5</v>
      </c>
      <c r="H54"/>
      <c r="J54"/>
      <c r="K54"/>
      <c r="L54"/>
      <c r="M54"/>
      <c r="N54"/>
      <c r="Q54"/>
      <c r="R54"/>
    </row>
    <row r="55" spans="2:19" ht="13" outlineLevel="1" x14ac:dyDescent="0.3">
      <c r="B55"/>
      <c r="C55"/>
      <c r="D55"/>
      <c r="E55"/>
      <c r="F55" s="72" t="s">
        <v>245</v>
      </c>
      <c r="G55" s="53">
        <v>2856.5</v>
      </c>
      <c r="H55"/>
      <c r="J55"/>
      <c r="K55"/>
      <c r="L55"/>
      <c r="M55"/>
      <c r="N55"/>
      <c r="Q55"/>
      <c r="R55"/>
    </row>
    <row r="56" spans="2:19" ht="13" outlineLevel="1" x14ac:dyDescent="0.3">
      <c r="B56"/>
      <c r="C56"/>
      <c r="D56"/>
      <c r="E56"/>
      <c r="F56" s="51" t="s">
        <v>27</v>
      </c>
      <c r="G56" s="53">
        <v>2845.59</v>
      </c>
      <c r="H56"/>
      <c r="I56"/>
      <c r="J56"/>
      <c r="K56"/>
      <c r="L56"/>
      <c r="M56"/>
      <c r="N56"/>
      <c r="Q56"/>
      <c r="R56"/>
    </row>
    <row r="57" spans="2:19" ht="13" outlineLevel="1" x14ac:dyDescent="0.3">
      <c r="B57"/>
      <c r="C57"/>
      <c r="D57"/>
      <c r="E57"/>
      <c r="F57" s="72" t="s">
        <v>245</v>
      </c>
      <c r="G57" s="53">
        <v>2436</v>
      </c>
      <c r="H57"/>
      <c r="I57"/>
      <c r="J57"/>
      <c r="K57"/>
      <c r="L57"/>
      <c r="M57"/>
      <c r="N57"/>
      <c r="Q57"/>
      <c r="R57"/>
    </row>
    <row r="58" spans="2:19" ht="13" outlineLevel="1" x14ac:dyDescent="0.3">
      <c r="B58"/>
      <c r="C58"/>
      <c r="D58"/>
      <c r="E58"/>
      <c r="F58" s="72" t="s">
        <v>242</v>
      </c>
      <c r="G58" s="53">
        <v>409.59000000000003</v>
      </c>
      <c r="H58"/>
      <c r="I58"/>
      <c r="J58"/>
      <c r="K58"/>
      <c r="L58"/>
      <c r="M58"/>
      <c r="N58"/>
      <c r="Q58"/>
      <c r="R58"/>
    </row>
    <row r="59" spans="2:19" ht="13" outlineLevel="1" x14ac:dyDescent="0.3">
      <c r="B59"/>
      <c r="C59"/>
      <c r="D59"/>
      <c r="E59"/>
      <c r="F59" s="51" t="s">
        <v>35</v>
      </c>
      <c r="G59" s="53">
        <v>2628.2699999999995</v>
      </c>
      <c r="H59"/>
      <c r="I59"/>
      <c r="J59"/>
      <c r="K59"/>
      <c r="L59"/>
      <c r="M59"/>
      <c r="N59"/>
      <c r="Q59"/>
      <c r="R59"/>
    </row>
    <row r="60" spans="2:19" ht="13" outlineLevel="1" x14ac:dyDescent="0.3">
      <c r="B60"/>
      <c r="C60"/>
      <c r="D60"/>
      <c r="E60"/>
      <c r="F60" s="72" t="s">
        <v>242</v>
      </c>
      <c r="G60" s="53">
        <v>1928.07</v>
      </c>
      <c r="H60"/>
      <c r="I60"/>
      <c r="J60"/>
      <c r="K60"/>
      <c r="L60"/>
      <c r="M60"/>
      <c r="N60"/>
      <c r="Q60"/>
      <c r="R60"/>
    </row>
    <row r="61" spans="2:19" ht="13" outlineLevel="1" x14ac:dyDescent="0.3">
      <c r="B61"/>
      <c r="C61"/>
      <c r="D61"/>
      <c r="E61"/>
      <c r="F61" s="72" t="s">
        <v>240</v>
      </c>
      <c r="G61" s="53">
        <v>490.5</v>
      </c>
      <c r="H61"/>
      <c r="I61"/>
      <c r="J61"/>
      <c r="K61"/>
      <c r="L61"/>
      <c r="M61"/>
      <c r="N61"/>
      <c r="Q61"/>
      <c r="R61"/>
    </row>
    <row r="62" spans="2:19" ht="13" outlineLevel="1" x14ac:dyDescent="0.3">
      <c r="B62"/>
      <c r="C62"/>
      <c r="D62"/>
      <c r="E62"/>
      <c r="F62" s="72" t="s">
        <v>244</v>
      </c>
      <c r="G62" s="53">
        <v>209.70000000000002</v>
      </c>
      <c r="H62"/>
      <c r="I62"/>
      <c r="J62"/>
      <c r="K62"/>
      <c r="L62"/>
      <c r="M62"/>
      <c r="N62"/>
    </row>
    <row r="63" spans="2:19" ht="13" outlineLevel="1" x14ac:dyDescent="0.3">
      <c r="B63"/>
      <c r="C63"/>
      <c r="D63"/>
      <c r="E63"/>
      <c r="F63" s="51" t="s">
        <v>24</v>
      </c>
      <c r="G63" s="53">
        <v>2552</v>
      </c>
      <c r="H63"/>
      <c r="I63"/>
      <c r="J63"/>
      <c r="K63"/>
      <c r="L63"/>
      <c r="M63"/>
      <c r="N63"/>
    </row>
    <row r="64" spans="2:19" ht="13" outlineLevel="1" x14ac:dyDescent="0.3">
      <c r="B64"/>
      <c r="C64"/>
      <c r="D64"/>
      <c r="E64"/>
      <c r="F64" s="72" t="s">
        <v>245</v>
      </c>
      <c r="G64" s="53">
        <v>2552</v>
      </c>
      <c r="H64"/>
      <c r="I64"/>
      <c r="J64"/>
      <c r="K64"/>
      <c r="L64"/>
      <c r="M64"/>
      <c r="N64"/>
      <c r="S64"/>
    </row>
    <row r="65" spans="2:19" ht="13" outlineLevel="1" x14ac:dyDescent="0.3">
      <c r="B65"/>
      <c r="C65"/>
      <c r="D65"/>
      <c r="E65"/>
      <c r="F65" s="51" t="s">
        <v>232</v>
      </c>
      <c r="G65" s="53">
        <v>13898.36</v>
      </c>
      <c r="H65"/>
      <c r="I65"/>
      <c r="J65"/>
      <c r="K65"/>
      <c r="L65"/>
      <c r="M65"/>
      <c r="N65"/>
      <c r="S65"/>
    </row>
    <row r="66" spans="2:19" ht="13" outlineLevel="1" x14ac:dyDescent="0.3">
      <c r="B66"/>
      <c r="C66"/>
      <c r="D66"/>
      <c r="E66"/>
      <c r="F66"/>
      <c r="G66"/>
      <c r="H66"/>
      <c r="I66"/>
      <c r="J66"/>
      <c r="K66"/>
      <c r="L66"/>
      <c r="M66"/>
      <c r="N66"/>
      <c r="Q66"/>
      <c r="R66"/>
      <c r="S66"/>
    </row>
    <row r="67" spans="2:19" ht="13" outlineLevel="1" x14ac:dyDescent="0.3">
      <c r="B67"/>
      <c r="I67"/>
      <c r="J67"/>
      <c r="K67"/>
      <c r="L67"/>
      <c r="M67"/>
      <c r="N67"/>
      <c r="Q67"/>
      <c r="R67"/>
      <c r="S67"/>
    </row>
    <row r="68" spans="2:19" ht="13" outlineLevel="1" x14ac:dyDescent="0.3">
      <c r="I68"/>
      <c r="J68"/>
      <c r="K68"/>
      <c r="L68"/>
      <c r="M68"/>
      <c r="N68"/>
      <c r="Q68"/>
      <c r="R68"/>
      <c r="S68"/>
    </row>
    <row r="69" spans="2:19" ht="13" outlineLevel="1" x14ac:dyDescent="0.3">
      <c r="K69"/>
      <c r="L69"/>
      <c r="M69"/>
      <c r="N69"/>
      <c r="Q69"/>
      <c r="R69"/>
      <c r="S69"/>
    </row>
    <row r="70" spans="2:19" ht="13" outlineLevel="1" x14ac:dyDescent="0.3">
      <c r="B70"/>
      <c r="F70"/>
      <c r="G70"/>
      <c r="H70"/>
      <c r="I70"/>
      <c r="J70"/>
      <c r="K70"/>
      <c r="L70"/>
      <c r="M70"/>
      <c r="N70"/>
      <c r="Q70"/>
      <c r="R70"/>
      <c r="S70"/>
    </row>
    <row r="71" spans="2:19" ht="13" outlineLevel="1" x14ac:dyDescent="0.3">
      <c r="B71"/>
      <c r="K71"/>
      <c r="L71"/>
      <c r="M71"/>
      <c r="N71"/>
      <c r="Q71"/>
      <c r="R71"/>
      <c r="S71"/>
    </row>
    <row r="72" spans="2:19" ht="13" outlineLevel="1" x14ac:dyDescent="0.3">
      <c r="B72"/>
      <c r="F72" s="46"/>
      <c r="K72"/>
      <c r="L72"/>
      <c r="M72"/>
      <c r="N72"/>
      <c r="Q72"/>
      <c r="R72"/>
      <c r="S72"/>
    </row>
    <row r="73" spans="2:19" ht="13" outlineLevel="1" x14ac:dyDescent="0.3">
      <c r="B73"/>
      <c r="C73"/>
      <c r="D73"/>
      <c r="E73"/>
      <c r="F73"/>
      <c r="G73"/>
      <c r="H73"/>
      <c r="I73"/>
      <c r="J73"/>
      <c r="K73"/>
      <c r="L73"/>
      <c r="M73"/>
      <c r="N73"/>
      <c r="Q73"/>
      <c r="R73"/>
      <c r="S73"/>
    </row>
    <row r="74" spans="2:19" ht="13" outlineLevel="1" x14ac:dyDescent="0.3">
      <c r="B74"/>
      <c r="C74"/>
      <c r="D74"/>
      <c r="E74"/>
      <c r="F74"/>
      <c r="G74"/>
      <c r="H74"/>
      <c r="I74"/>
      <c r="J74"/>
      <c r="K74"/>
      <c r="L74"/>
      <c r="M74"/>
      <c r="N74"/>
      <c r="Q74"/>
      <c r="R74"/>
      <c r="S74"/>
    </row>
    <row r="75" spans="2:19" ht="13" outlineLevel="1" x14ac:dyDescent="0.3">
      <c r="B75"/>
      <c r="C75"/>
      <c r="D75"/>
      <c r="E75"/>
      <c r="F75"/>
      <c r="G75"/>
      <c r="H75"/>
      <c r="I75"/>
      <c r="J75"/>
      <c r="K75"/>
      <c r="L75"/>
      <c r="M75"/>
      <c r="N75"/>
      <c r="Q75"/>
      <c r="R75"/>
      <c r="S75"/>
    </row>
    <row r="76" spans="2:19" ht="13" x14ac:dyDescent="0.3">
      <c r="B76"/>
      <c r="C76"/>
      <c r="D76"/>
      <c r="E76"/>
      <c r="F76" s="51"/>
      <c r="G76" s="53"/>
      <c r="H76"/>
      <c r="I76"/>
      <c r="J76"/>
      <c r="K76"/>
      <c r="L76"/>
      <c r="M76"/>
      <c r="N76"/>
      <c r="Q76"/>
      <c r="R76"/>
      <c r="S76"/>
    </row>
    <row r="77" spans="2:19" ht="13" x14ac:dyDescent="0.3">
      <c r="B77"/>
      <c r="C77"/>
      <c r="D77"/>
      <c r="E77"/>
      <c r="F77"/>
      <c r="G77"/>
      <c r="H77"/>
      <c r="I77"/>
      <c r="J77"/>
      <c r="K77"/>
      <c r="L77"/>
      <c r="M77"/>
      <c r="N77"/>
      <c r="Q77"/>
      <c r="R77"/>
      <c r="S77"/>
    </row>
    <row r="78" spans="2:19" ht="13" x14ac:dyDescent="0.3">
      <c r="B78"/>
      <c r="C78"/>
      <c r="D78"/>
      <c r="E78"/>
      <c r="F78"/>
      <c r="G78"/>
      <c r="H78"/>
      <c r="I78"/>
      <c r="J78"/>
      <c r="K78"/>
      <c r="L78"/>
      <c r="M78"/>
      <c r="N78"/>
      <c r="Q78"/>
      <c r="R78"/>
      <c r="S78"/>
    </row>
    <row r="79" spans="2:19" ht="13" x14ac:dyDescent="0.3">
      <c r="B79"/>
      <c r="C79"/>
      <c r="D79"/>
      <c r="E79"/>
      <c r="F79"/>
      <c r="G79"/>
      <c r="H79"/>
      <c r="I79"/>
      <c r="J79"/>
      <c r="K79"/>
      <c r="L79"/>
      <c r="M79"/>
      <c r="N79"/>
      <c r="Q79"/>
      <c r="R79"/>
      <c r="S79"/>
    </row>
    <row r="80" spans="2:19" ht="13" x14ac:dyDescent="0.3">
      <c r="B80"/>
      <c r="C80"/>
      <c r="D80"/>
      <c r="E80"/>
      <c r="F80"/>
      <c r="G80"/>
      <c r="H80"/>
      <c r="I80"/>
      <c r="J80"/>
      <c r="K80"/>
      <c r="L80"/>
      <c r="M80"/>
      <c r="N80"/>
      <c r="Q80"/>
      <c r="R80"/>
      <c r="S80"/>
    </row>
    <row r="81" spans="2:19" ht="13" x14ac:dyDescent="0.3">
      <c r="B81"/>
      <c r="C81"/>
      <c r="D81"/>
      <c r="E81"/>
      <c r="F81"/>
      <c r="G81"/>
      <c r="H81"/>
      <c r="I81"/>
      <c r="J81"/>
      <c r="K81"/>
      <c r="L81"/>
      <c r="M81"/>
      <c r="N81"/>
      <c r="Q81"/>
      <c r="R81"/>
      <c r="S81"/>
    </row>
    <row r="82" spans="2:19" ht="13" x14ac:dyDescent="0.3">
      <c r="B82"/>
      <c r="C82"/>
      <c r="D82"/>
      <c r="E82"/>
      <c r="F82"/>
      <c r="G82"/>
      <c r="H82"/>
      <c r="I82"/>
      <c r="J82"/>
      <c r="K82"/>
      <c r="L82"/>
      <c r="M82"/>
      <c r="N82"/>
      <c r="Q82"/>
      <c r="R82"/>
      <c r="S82"/>
    </row>
    <row r="83" spans="2:19" ht="13" x14ac:dyDescent="0.3">
      <c r="B83"/>
      <c r="C83"/>
      <c r="D83"/>
      <c r="E83"/>
      <c r="F83"/>
      <c r="G83"/>
      <c r="H83"/>
      <c r="I83"/>
      <c r="J83"/>
      <c r="K83"/>
      <c r="L83"/>
      <c r="M83"/>
      <c r="N83"/>
      <c r="Q83"/>
      <c r="R83"/>
      <c r="S83"/>
    </row>
    <row r="84" spans="2:19" ht="13" x14ac:dyDescent="0.3">
      <c r="B84"/>
      <c r="C84"/>
      <c r="D84"/>
      <c r="E84"/>
      <c r="F84"/>
      <c r="G84"/>
      <c r="H84"/>
      <c r="I84"/>
      <c r="J84"/>
      <c r="K84"/>
      <c r="L84"/>
      <c r="M84"/>
      <c r="N84"/>
      <c r="Q84"/>
      <c r="R84"/>
      <c r="S84"/>
    </row>
    <row r="85" spans="2:19" ht="13" x14ac:dyDescent="0.3">
      <c r="B85"/>
      <c r="C85"/>
      <c r="D85"/>
      <c r="E85"/>
      <c r="F85"/>
      <c r="G85"/>
      <c r="H85"/>
      <c r="I85"/>
      <c r="J85"/>
      <c r="K85"/>
      <c r="L85"/>
      <c r="M85"/>
      <c r="N85"/>
      <c r="Q85"/>
      <c r="R85"/>
      <c r="S85"/>
    </row>
    <row r="86" spans="2:19" ht="13" x14ac:dyDescent="0.3">
      <c r="B86"/>
      <c r="C86"/>
      <c r="D86"/>
      <c r="E86"/>
      <c r="F86"/>
      <c r="G86"/>
      <c r="H86"/>
      <c r="I86"/>
      <c r="J86"/>
      <c r="K86"/>
      <c r="L86"/>
      <c r="M86"/>
      <c r="N86"/>
      <c r="Q86"/>
      <c r="R86"/>
      <c r="S86"/>
    </row>
    <row r="87" spans="2:19" ht="13" x14ac:dyDescent="0.3">
      <c r="B87"/>
      <c r="C87"/>
      <c r="D87"/>
      <c r="E87"/>
      <c r="F87"/>
      <c r="G87"/>
      <c r="H87"/>
      <c r="I87"/>
      <c r="J87"/>
      <c r="K87"/>
      <c r="L87"/>
      <c r="M87"/>
      <c r="N87"/>
      <c r="Q87"/>
      <c r="R87"/>
      <c r="S87"/>
    </row>
    <row r="88" spans="2:19" ht="13" x14ac:dyDescent="0.3">
      <c r="B88"/>
      <c r="C88"/>
      <c r="D88"/>
      <c r="E88"/>
      <c r="F88"/>
      <c r="G88"/>
      <c r="H88"/>
      <c r="I88"/>
      <c r="J88"/>
      <c r="K88"/>
      <c r="L88"/>
      <c r="M88"/>
      <c r="N88"/>
      <c r="Q88"/>
      <c r="R88"/>
      <c r="S88"/>
    </row>
    <row r="89" spans="2:19" ht="13" x14ac:dyDescent="0.3">
      <c r="B89"/>
      <c r="C89"/>
      <c r="D89"/>
      <c r="E89"/>
      <c r="F89"/>
      <c r="G89"/>
      <c r="H89"/>
      <c r="I89"/>
      <c r="J89"/>
      <c r="K89"/>
      <c r="L89"/>
      <c r="M89"/>
      <c r="N89"/>
      <c r="Q89"/>
      <c r="R89"/>
      <c r="S89"/>
    </row>
    <row r="90" spans="2:19" ht="13" x14ac:dyDescent="0.3">
      <c r="B90"/>
      <c r="C90"/>
      <c r="D90"/>
      <c r="E90"/>
      <c r="F90"/>
      <c r="G90"/>
      <c r="H90"/>
      <c r="I90"/>
      <c r="J90"/>
      <c r="K90"/>
      <c r="L90"/>
      <c r="M90"/>
      <c r="N90"/>
      <c r="Q90"/>
      <c r="R90"/>
      <c r="S90"/>
    </row>
    <row r="91" spans="2:19" ht="13" x14ac:dyDescent="0.3">
      <c r="B91"/>
      <c r="C91"/>
      <c r="D91"/>
      <c r="E91"/>
      <c r="F91"/>
      <c r="G91"/>
      <c r="H91"/>
      <c r="I91"/>
      <c r="J91"/>
      <c r="K91"/>
      <c r="L91"/>
      <c r="M91"/>
      <c r="N91"/>
      <c r="Q91"/>
      <c r="R91"/>
      <c r="S91"/>
    </row>
    <row r="92" spans="2:19" ht="13" x14ac:dyDescent="0.3">
      <c r="B92"/>
      <c r="C92"/>
      <c r="D92"/>
      <c r="E92"/>
      <c r="F92"/>
      <c r="G92"/>
      <c r="H92"/>
      <c r="I92"/>
      <c r="J92"/>
      <c r="K92"/>
      <c r="L92"/>
      <c r="M92"/>
      <c r="N92"/>
      <c r="Q92"/>
      <c r="R92"/>
      <c r="S92"/>
    </row>
    <row r="93" spans="2:19" ht="13" x14ac:dyDescent="0.3">
      <c r="B93"/>
      <c r="C93"/>
      <c r="D93"/>
      <c r="E93"/>
      <c r="F93"/>
      <c r="G93"/>
      <c r="H93"/>
      <c r="I93"/>
      <c r="J93"/>
      <c r="K93"/>
      <c r="L93"/>
      <c r="M93"/>
      <c r="N93"/>
      <c r="Q93"/>
      <c r="R93"/>
      <c r="S93"/>
    </row>
    <row r="94" spans="2:19" ht="13" x14ac:dyDescent="0.3">
      <c r="B94"/>
      <c r="C94"/>
      <c r="D94"/>
      <c r="E94"/>
      <c r="F94"/>
      <c r="G94"/>
      <c r="H94"/>
      <c r="I94"/>
      <c r="J94"/>
      <c r="K94"/>
      <c r="L94"/>
      <c r="M94"/>
      <c r="N94"/>
      <c r="Q94"/>
      <c r="R94"/>
      <c r="S94"/>
    </row>
    <row r="95" spans="2:19" ht="13" x14ac:dyDescent="0.3">
      <c r="B95"/>
      <c r="C95"/>
      <c r="D95"/>
      <c r="E95"/>
      <c r="F95"/>
      <c r="G95"/>
      <c r="H95"/>
      <c r="I95"/>
      <c r="J95"/>
      <c r="K95"/>
      <c r="L95"/>
      <c r="M95"/>
      <c r="N95"/>
      <c r="Q95"/>
      <c r="R95"/>
      <c r="S95"/>
    </row>
    <row r="96" spans="2:19" ht="13" x14ac:dyDescent="0.3">
      <c r="B96"/>
      <c r="C96"/>
      <c r="D96"/>
      <c r="E96"/>
      <c r="F96"/>
      <c r="G96"/>
      <c r="H96"/>
      <c r="I96"/>
      <c r="J96"/>
      <c r="K96"/>
      <c r="L96"/>
      <c r="M96"/>
      <c r="N96"/>
      <c r="Q96"/>
      <c r="R96"/>
      <c r="S96"/>
    </row>
    <row r="97" spans="2:19" ht="13" x14ac:dyDescent="0.3">
      <c r="B97"/>
      <c r="C97"/>
      <c r="D97"/>
      <c r="E97"/>
      <c r="F97"/>
      <c r="G97"/>
      <c r="H97"/>
      <c r="I97"/>
      <c r="J97"/>
      <c r="K97"/>
      <c r="L97"/>
      <c r="M97"/>
      <c r="N97"/>
      <c r="Q97"/>
      <c r="R97"/>
      <c r="S97"/>
    </row>
    <row r="98" spans="2:19" ht="13" x14ac:dyDescent="0.3">
      <c r="B98"/>
      <c r="C98"/>
      <c r="D98"/>
      <c r="E98"/>
      <c r="F98"/>
      <c r="G98"/>
      <c r="H98"/>
      <c r="I98"/>
      <c r="J98"/>
      <c r="K98"/>
      <c r="L98"/>
      <c r="M98"/>
      <c r="N98"/>
      <c r="Q98"/>
      <c r="R98"/>
      <c r="S98"/>
    </row>
    <row r="99" spans="2:19" ht="13" x14ac:dyDescent="0.3">
      <c r="B99"/>
      <c r="C99"/>
      <c r="D99"/>
      <c r="E99"/>
      <c r="F99"/>
      <c r="G99"/>
      <c r="H99"/>
      <c r="I99"/>
      <c r="J99"/>
      <c r="K99"/>
      <c r="L99"/>
      <c r="M99"/>
      <c r="N99"/>
      <c r="Q99"/>
      <c r="R99"/>
      <c r="S99"/>
    </row>
    <row r="100" spans="2:19" ht="13" x14ac:dyDescent="0.3">
      <c r="B100"/>
      <c r="C100"/>
      <c r="D100"/>
      <c r="E100"/>
      <c r="F100"/>
      <c r="G100"/>
      <c r="H100"/>
      <c r="I100"/>
      <c r="J100"/>
      <c r="K100"/>
      <c r="L100"/>
      <c r="M100"/>
      <c r="N100"/>
      <c r="Q100"/>
      <c r="R100"/>
      <c r="S100"/>
    </row>
    <row r="101" spans="2:19" ht="13" x14ac:dyDescent="0.3">
      <c r="B101"/>
      <c r="C101"/>
      <c r="D101"/>
      <c r="E101"/>
      <c r="F101"/>
      <c r="G101"/>
      <c r="H101"/>
      <c r="I101"/>
      <c r="J101"/>
      <c r="K101"/>
      <c r="L101"/>
      <c r="M101"/>
      <c r="N101"/>
      <c r="Q101"/>
      <c r="R101"/>
      <c r="S101"/>
    </row>
    <row r="102" spans="2:19" ht="13" x14ac:dyDescent="0.3">
      <c r="B102"/>
      <c r="C102"/>
      <c r="D102"/>
      <c r="E102"/>
      <c r="F102"/>
      <c r="G102"/>
      <c r="H102"/>
      <c r="I102"/>
      <c r="J102"/>
      <c r="K102"/>
      <c r="L102"/>
      <c r="M102"/>
      <c r="N102"/>
      <c r="Q102"/>
      <c r="R102"/>
      <c r="S102"/>
    </row>
    <row r="103" spans="2:19" ht="13" x14ac:dyDescent="0.3">
      <c r="B103"/>
      <c r="C103"/>
      <c r="D103"/>
      <c r="E103"/>
      <c r="F103"/>
      <c r="G103"/>
      <c r="H103"/>
      <c r="I103"/>
      <c r="J103"/>
      <c r="K103"/>
      <c r="L103"/>
      <c r="M103"/>
      <c r="N103"/>
      <c r="Q103"/>
      <c r="R103"/>
      <c r="S103"/>
    </row>
    <row r="104" spans="2:19" ht="13" x14ac:dyDescent="0.3">
      <c r="B104"/>
      <c r="C104"/>
      <c r="D104"/>
      <c r="E104"/>
      <c r="F104"/>
      <c r="G104"/>
      <c r="H104"/>
      <c r="I104"/>
      <c r="J104"/>
      <c r="K104"/>
      <c r="L104"/>
      <c r="M104"/>
      <c r="N104"/>
      <c r="Q104"/>
      <c r="R104"/>
      <c r="S104"/>
    </row>
    <row r="105" spans="2:19" ht="13" x14ac:dyDescent="0.3">
      <c r="B105"/>
      <c r="C105"/>
      <c r="D105"/>
      <c r="E105"/>
      <c r="F105"/>
      <c r="G105"/>
      <c r="H105"/>
      <c r="I105"/>
      <c r="J105"/>
      <c r="K105"/>
      <c r="L105"/>
      <c r="M105"/>
      <c r="N105"/>
      <c r="Q105"/>
      <c r="R105"/>
      <c r="S105"/>
    </row>
    <row r="106" spans="2:19" ht="13" x14ac:dyDescent="0.3">
      <c r="B106"/>
      <c r="C106"/>
      <c r="D106"/>
      <c r="E106"/>
      <c r="F106"/>
      <c r="G106"/>
      <c r="H106"/>
      <c r="I106"/>
      <c r="J106"/>
      <c r="K106"/>
      <c r="L106"/>
      <c r="M106"/>
      <c r="N106"/>
      <c r="Q106"/>
      <c r="R106"/>
      <c r="S106"/>
    </row>
    <row r="107" spans="2:19" ht="13" x14ac:dyDescent="0.3">
      <c r="B107"/>
      <c r="C107"/>
      <c r="D107"/>
      <c r="E107"/>
      <c r="F107"/>
      <c r="G107"/>
      <c r="H107"/>
      <c r="I107"/>
      <c r="J107"/>
      <c r="K107"/>
      <c r="L107"/>
      <c r="M107"/>
      <c r="N107"/>
      <c r="Q107"/>
      <c r="R107"/>
      <c r="S107"/>
    </row>
    <row r="108" spans="2:19" ht="13" x14ac:dyDescent="0.3">
      <c r="B108"/>
      <c r="C108"/>
      <c r="D108"/>
      <c r="E108"/>
      <c r="F108"/>
      <c r="G108"/>
      <c r="H108"/>
      <c r="I108"/>
      <c r="J108"/>
      <c r="K108"/>
      <c r="L108"/>
      <c r="M108"/>
      <c r="N108"/>
      <c r="Q108"/>
      <c r="R108"/>
      <c r="S108"/>
    </row>
    <row r="109" spans="2:19" ht="13" x14ac:dyDescent="0.3">
      <c r="B109"/>
      <c r="C109"/>
      <c r="D109"/>
      <c r="E109"/>
      <c r="F109"/>
      <c r="G109"/>
      <c r="H109"/>
      <c r="I109"/>
      <c r="J109"/>
      <c r="K109"/>
      <c r="L109"/>
      <c r="M109"/>
      <c r="N109"/>
      <c r="Q109"/>
      <c r="R109"/>
      <c r="S109"/>
    </row>
    <row r="110" spans="2:19" ht="13" x14ac:dyDescent="0.3">
      <c r="B110"/>
      <c r="C110"/>
      <c r="D110"/>
      <c r="E110"/>
      <c r="F110"/>
      <c r="G110"/>
      <c r="H110"/>
      <c r="I110"/>
      <c r="J110"/>
      <c r="K110"/>
      <c r="L110"/>
      <c r="M110"/>
      <c r="N110"/>
      <c r="Q110"/>
      <c r="R110"/>
      <c r="S110"/>
    </row>
    <row r="111" spans="2:19" ht="13" x14ac:dyDescent="0.3">
      <c r="B111"/>
      <c r="C111"/>
      <c r="D111"/>
      <c r="E111"/>
      <c r="F111"/>
      <c r="G111"/>
      <c r="H111"/>
      <c r="I111"/>
      <c r="J111"/>
      <c r="K111"/>
      <c r="L111"/>
      <c r="M111"/>
      <c r="N111"/>
      <c r="Q111"/>
      <c r="R111"/>
      <c r="S111"/>
    </row>
    <row r="112" spans="2:19" ht="13" x14ac:dyDescent="0.3">
      <c r="B112"/>
      <c r="C112"/>
      <c r="D112"/>
      <c r="E112"/>
      <c r="F112"/>
      <c r="G112"/>
      <c r="H112"/>
      <c r="I112"/>
      <c r="J112"/>
      <c r="K112"/>
      <c r="L112"/>
      <c r="M112"/>
      <c r="N112"/>
      <c r="Q112"/>
      <c r="R112"/>
      <c r="S112"/>
    </row>
    <row r="113" spans="2:19" ht="13" x14ac:dyDescent="0.3">
      <c r="B113"/>
      <c r="C113"/>
      <c r="D113"/>
      <c r="E113"/>
      <c r="F113"/>
      <c r="G113"/>
      <c r="H113"/>
      <c r="I113"/>
      <c r="J113"/>
      <c r="K113"/>
      <c r="L113"/>
      <c r="M113"/>
      <c r="N113"/>
      <c r="Q113"/>
      <c r="R113"/>
      <c r="S113"/>
    </row>
    <row r="114" spans="2:19" ht="13" x14ac:dyDescent="0.3">
      <c r="B114"/>
      <c r="C114"/>
      <c r="D114"/>
      <c r="E114"/>
      <c r="F114"/>
      <c r="G114"/>
      <c r="H114"/>
      <c r="I114"/>
      <c r="J114"/>
      <c r="K114"/>
      <c r="L114"/>
      <c r="M114"/>
      <c r="N114"/>
      <c r="Q114"/>
      <c r="R114"/>
      <c r="S114"/>
    </row>
    <row r="115" spans="2:19" ht="13" x14ac:dyDescent="0.3">
      <c r="B115"/>
      <c r="C115"/>
      <c r="D115"/>
      <c r="E115"/>
      <c r="F115"/>
      <c r="G115"/>
      <c r="H115"/>
      <c r="I115"/>
      <c r="J115"/>
      <c r="K115"/>
      <c r="L115"/>
      <c r="M115"/>
      <c r="N115"/>
      <c r="Q115"/>
      <c r="R115"/>
      <c r="S115"/>
    </row>
    <row r="116" spans="2:19" ht="13" x14ac:dyDescent="0.3">
      <c r="B116"/>
      <c r="C116"/>
      <c r="D116"/>
      <c r="E116"/>
      <c r="F116"/>
      <c r="G116"/>
      <c r="H116"/>
      <c r="I116"/>
      <c r="J116"/>
      <c r="K116"/>
      <c r="L116"/>
      <c r="M116"/>
      <c r="N116"/>
      <c r="Q116"/>
      <c r="R116"/>
      <c r="S116"/>
    </row>
    <row r="117" spans="2:19" ht="13" x14ac:dyDescent="0.3">
      <c r="B117"/>
      <c r="C117"/>
      <c r="D117"/>
      <c r="E117"/>
      <c r="F117"/>
      <c r="G117"/>
      <c r="H117"/>
      <c r="I117"/>
      <c r="J117"/>
      <c r="K117"/>
      <c r="L117"/>
      <c r="M117"/>
      <c r="N117"/>
      <c r="Q117"/>
      <c r="R117"/>
      <c r="S117"/>
    </row>
    <row r="118" spans="2:19" ht="13" x14ac:dyDescent="0.3">
      <c r="B118"/>
      <c r="C118"/>
      <c r="D118"/>
      <c r="E118"/>
      <c r="F118"/>
      <c r="G118"/>
      <c r="H118"/>
      <c r="I118"/>
      <c r="J118"/>
      <c r="K118"/>
      <c r="L118"/>
      <c r="M118"/>
      <c r="N118"/>
      <c r="Q118"/>
      <c r="R118"/>
      <c r="S118"/>
    </row>
    <row r="119" spans="2:19" ht="13" x14ac:dyDescent="0.3">
      <c r="B119"/>
      <c r="C119"/>
      <c r="D119"/>
      <c r="E119"/>
      <c r="F119"/>
      <c r="G119"/>
      <c r="H119"/>
      <c r="I119"/>
      <c r="J119"/>
      <c r="K119"/>
      <c r="L119"/>
      <c r="M119"/>
      <c r="N119"/>
      <c r="Q119"/>
      <c r="R119"/>
      <c r="S119"/>
    </row>
    <row r="120" spans="2:19" ht="13" x14ac:dyDescent="0.3">
      <c r="B120"/>
      <c r="C120"/>
      <c r="D120"/>
      <c r="E120"/>
      <c r="F120"/>
      <c r="G120"/>
      <c r="H120"/>
      <c r="I120"/>
      <c r="J120"/>
      <c r="K120"/>
      <c r="L120"/>
      <c r="M120"/>
      <c r="N120"/>
      <c r="Q120"/>
      <c r="R120"/>
      <c r="S120"/>
    </row>
    <row r="121" spans="2:19" ht="13" x14ac:dyDescent="0.3">
      <c r="Q121"/>
      <c r="R121"/>
      <c r="S121"/>
    </row>
    <row r="122" spans="2:19" ht="13" x14ac:dyDescent="0.3">
      <c r="Q122"/>
      <c r="R122"/>
      <c r="S122"/>
    </row>
    <row r="123" spans="2:19" ht="13" x14ac:dyDescent="0.3">
      <c r="Q123"/>
      <c r="R123"/>
      <c r="S123"/>
    </row>
    <row r="124" spans="2:19" ht="13" x14ac:dyDescent="0.3">
      <c r="Q124"/>
      <c r="R124"/>
      <c r="S124"/>
    </row>
    <row r="125" spans="2:19" ht="13" x14ac:dyDescent="0.3">
      <c r="Q125"/>
      <c r="R125"/>
      <c r="S125"/>
    </row>
    <row r="126" spans="2:19" ht="13" x14ac:dyDescent="0.3">
      <c r="Q126"/>
      <c r="R126"/>
      <c r="S126"/>
    </row>
    <row r="127" spans="2:19" ht="13" x14ac:dyDescent="0.3">
      <c r="Q127"/>
      <c r="R127"/>
      <c r="S127"/>
    </row>
    <row r="128" spans="2:19" ht="13" x14ac:dyDescent="0.3">
      <c r="Q128"/>
      <c r="R128"/>
      <c r="S128"/>
    </row>
    <row r="129" spans="17:19" ht="13" x14ac:dyDescent="0.3">
      <c r="Q129"/>
      <c r="R129"/>
      <c r="S129"/>
    </row>
    <row r="130" spans="17:19" ht="13" x14ac:dyDescent="0.3">
      <c r="Q130"/>
      <c r="R130"/>
      <c r="S130"/>
    </row>
    <row r="131" spans="17:19" ht="13" x14ac:dyDescent="0.3">
      <c r="Q131"/>
      <c r="R131"/>
      <c r="S131"/>
    </row>
    <row r="132" spans="17:19" ht="13" x14ac:dyDescent="0.3">
      <c r="Q132"/>
      <c r="R132"/>
      <c r="S132"/>
    </row>
    <row r="133" spans="17:19" ht="13" x14ac:dyDescent="0.3">
      <c r="Q133"/>
      <c r="R133"/>
      <c r="S133"/>
    </row>
    <row r="134" spans="17:19" ht="13" x14ac:dyDescent="0.3">
      <c r="Q134"/>
      <c r="R134"/>
      <c r="S134"/>
    </row>
    <row r="135" spans="17:19" ht="13" x14ac:dyDescent="0.3">
      <c r="Q135"/>
      <c r="R135"/>
      <c r="S135"/>
    </row>
    <row r="136" spans="17:19" ht="13" x14ac:dyDescent="0.3">
      <c r="Q136"/>
      <c r="R136"/>
      <c r="S136"/>
    </row>
    <row r="137" spans="17:19" ht="13" x14ac:dyDescent="0.3">
      <c r="Q137"/>
      <c r="R137"/>
      <c r="S137"/>
    </row>
    <row r="138" spans="17:19" ht="13" x14ac:dyDescent="0.3">
      <c r="Q138"/>
      <c r="R138"/>
      <c r="S138"/>
    </row>
    <row r="139" spans="17:19" ht="13" x14ac:dyDescent="0.3">
      <c r="Q139"/>
      <c r="R139"/>
      <c r="S139"/>
    </row>
    <row r="140" spans="17:19" ht="13" x14ac:dyDescent="0.3">
      <c r="Q140"/>
      <c r="R140"/>
      <c r="S140"/>
    </row>
    <row r="141" spans="17:19" ht="13" x14ac:dyDescent="0.3">
      <c r="Q141"/>
      <c r="R141"/>
      <c r="S141"/>
    </row>
    <row r="142" spans="17:19" ht="13" x14ac:dyDescent="0.3">
      <c r="Q142"/>
      <c r="R142"/>
      <c r="S142"/>
    </row>
    <row r="143" spans="17:19" ht="13" x14ac:dyDescent="0.3">
      <c r="Q143"/>
      <c r="R143"/>
      <c r="S143"/>
    </row>
    <row r="144" spans="17:19" ht="13" x14ac:dyDescent="0.3">
      <c r="Q144"/>
      <c r="R144"/>
      <c r="S144"/>
    </row>
    <row r="145" spans="17:19" ht="13" x14ac:dyDescent="0.3">
      <c r="Q145"/>
      <c r="R145"/>
      <c r="S145"/>
    </row>
    <row r="146" spans="17:19" ht="13" x14ac:dyDescent="0.3">
      <c r="Q146"/>
      <c r="R146"/>
      <c r="S146"/>
    </row>
    <row r="147" spans="17:19" ht="13" x14ac:dyDescent="0.3">
      <c r="Q147"/>
      <c r="R147"/>
      <c r="S147"/>
    </row>
    <row r="148" spans="17:19" ht="13" x14ac:dyDescent="0.3">
      <c r="Q148"/>
      <c r="R148"/>
      <c r="S148"/>
    </row>
    <row r="149" spans="17:19" ht="13" x14ac:dyDescent="0.3">
      <c r="Q149"/>
      <c r="R149"/>
      <c r="S149"/>
    </row>
    <row r="150" spans="17:19" ht="13" x14ac:dyDescent="0.3">
      <c r="Q150"/>
      <c r="R150"/>
      <c r="S150"/>
    </row>
    <row r="151" spans="17:19" ht="13" x14ac:dyDescent="0.3">
      <c r="Q151"/>
      <c r="R151"/>
      <c r="S151"/>
    </row>
    <row r="152" spans="17:19" ht="13" x14ac:dyDescent="0.3">
      <c r="Q152"/>
      <c r="R152"/>
    </row>
    <row r="153" spans="17:19" ht="13" x14ac:dyDescent="0.3">
      <c r="Q153"/>
      <c r="R153"/>
    </row>
    <row r="154" spans="17:19" ht="13" x14ac:dyDescent="0.3">
      <c r="Q154"/>
      <c r="R154"/>
    </row>
    <row r="155" spans="17:19" ht="13" x14ac:dyDescent="0.3">
      <c r="Q155"/>
      <c r="R155"/>
    </row>
    <row r="156" spans="17:19" ht="13" x14ac:dyDescent="0.3">
      <c r="Q156"/>
      <c r="R156"/>
    </row>
    <row r="157" spans="17:19" ht="13" x14ac:dyDescent="0.3">
      <c r="Q157"/>
      <c r="R157"/>
    </row>
    <row r="158" spans="17:19" ht="13" x14ac:dyDescent="0.3">
      <c r="Q158"/>
      <c r="R158"/>
    </row>
    <row r="159" spans="17:19" ht="13" x14ac:dyDescent="0.3">
      <c r="Q159"/>
      <c r="R159"/>
    </row>
    <row r="160" spans="17:19" ht="13" x14ac:dyDescent="0.3">
      <c r="Q160"/>
      <c r="R160"/>
    </row>
    <row r="161" spans="17:18" ht="13" x14ac:dyDescent="0.3">
      <c r="Q161"/>
      <c r="R161"/>
    </row>
    <row r="162" spans="17:18" ht="13" x14ac:dyDescent="0.3">
      <c r="Q162"/>
      <c r="R162"/>
    </row>
    <row r="163" spans="17:18" ht="13" x14ac:dyDescent="0.3">
      <c r="Q163"/>
      <c r="R163"/>
    </row>
    <row r="164" spans="17:18" ht="13" x14ac:dyDescent="0.3">
      <c r="Q164"/>
      <c r="R164"/>
    </row>
    <row r="165" spans="17:18" ht="13" x14ac:dyDescent="0.3">
      <c r="Q165"/>
      <c r="R165"/>
    </row>
    <row r="166" spans="17:18" ht="13" x14ac:dyDescent="0.3">
      <c r="Q166"/>
      <c r="R166"/>
    </row>
    <row r="167" spans="17:18" ht="13" x14ac:dyDescent="0.3">
      <c r="Q167"/>
      <c r="R167"/>
    </row>
    <row r="168" spans="17:18" ht="13" x14ac:dyDescent="0.3">
      <c r="Q168"/>
      <c r="R168"/>
    </row>
    <row r="169" spans="17:18" ht="13" x14ac:dyDescent="0.3">
      <c r="Q169"/>
      <c r="R169"/>
    </row>
    <row r="170" spans="17:18" ht="13" x14ac:dyDescent="0.3">
      <c r="Q170"/>
      <c r="R170"/>
    </row>
    <row r="171" spans="17:18" ht="13" x14ac:dyDescent="0.3">
      <c r="Q171"/>
      <c r="R171"/>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2289" r:id="rId7" name="Button 1">
              <controlPr defaultSize="0" print="0" autoFill="0" autoPict="0" macro="[0]!ThisWorkbook.Sorting_Instruction_Send_To_Answer_1">
                <anchor moveWithCells="1" sizeWithCells="1">
                  <from>
                    <xdr:col>11</xdr:col>
                    <xdr:colOff>317500</xdr:colOff>
                    <xdr:row>13</xdr:row>
                    <xdr:rowOff>146050</xdr:rowOff>
                  </from>
                  <to>
                    <xdr:col>14</xdr:col>
                    <xdr:colOff>450850</xdr:colOff>
                    <xdr:row>17</xdr:row>
                    <xdr:rowOff>31750</xdr:rowOff>
                  </to>
                </anchor>
              </controlPr>
            </control>
          </mc:Choice>
        </mc:AlternateContent>
        <mc:AlternateContent xmlns:mc="http://schemas.openxmlformats.org/markup-compatibility/2006">
          <mc:Choice Requires="x14">
            <control shapeId="12290" r:id="rId8" name="Button 2">
              <controlPr defaultSize="0" print="0" autoFill="0" autoPict="0" macro="[0]!ThisWorkbook.Sorting_Instruction_Send_To_Answer_2">
                <anchor moveWithCells="1" sizeWithCells="1">
                  <from>
                    <xdr:col>11</xdr:col>
                    <xdr:colOff>342900</xdr:colOff>
                    <xdr:row>28</xdr:row>
                    <xdr:rowOff>31750</xdr:rowOff>
                  </from>
                  <to>
                    <xdr:col>14</xdr:col>
                    <xdr:colOff>488950</xdr:colOff>
                    <xdr:row>31</xdr:row>
                    <xdr:rowOff>50800</xdr:rowOff>
                  </to>
                </anchor>
              </controlPr>
            </control>
          </mc:Choice>
        </mc:AlternateContent>
        <mc:AlternateContent xmlns:mc="http://schemas.openxmlformats.org/markup-compatibility/2006">
          <mc:Choice Requires="x14">
            <control shapeId="12291" r:id="rId9" name="Button 3">
              <controlPr defaultSize="0" print="0" autoFill="0" autoPict="0" macro="[0]!ThisWorkbook.Sorting_Instruction_Send_To_Answer_3">
                <anchor moveWithCells="1" sizeWithCells="1">
                  <from>
                    <xdr:col>11</xdr:col>
                    <xdr:colOff>336550</xdr:colOff>
                    <xdr:row>50</xdr:row>
                    <xdr:rowOff>69850</xdr:rowOff>
                  </from>
                  <to>
                    <xdr:col>14</xdr:col>
                    <xdr:colOff>457200</xdr:colOff>
                    <xdr:row>53</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151"/>
  <sheetViews>
    <sheetView showGridLines="0" zoomScale="85" zoomScaleNormal="85" zoomScalePageLayoutView="85" workbookViewId="0"/>
  </sheetViews>
  <sheetFormatPr defaultColWidth="9.33203125" defaultRowHeight="12.5" outlineLevelRow="1" x14ac:dyDescent="0.25"/>
  <cols>
    <col min="1" max="5" width="9.33203125" style="2"/>
    <col min="6" max="6" width="31.33203125" style="2" customWidth="1"/>
    <col min="7" max="7" width="20.6640625" style="2" customWidth="1"/>
    <col min="8"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0" ht="13" x14ac:dyDescent="0.3">
      <c r="A1" s="3" t="str">
        <f>Introduction!A1</f>
        <v>Problem Solving with Excel</v>
      </c>
    </row>
    <row r="2" spans="1:10" ht="13" x14ac:dyDescent="0.3">
      <c r="A2" s="3" t="str">
        <f>Introduction!A2</f>
        <v>Week 3</v>
      </c>
    </row>
    <row r="3" spans="1:10" ht="13" x14ac:dyDescent="0.3">
      <c r="A3" s="3" t="str">
        <f>Introduction!A3</f>
        <v>Pivot Tables</v>
      </c>
    </row>
    <row r="4" spans="1:10" ht="13" x14ac:dyDescent="0.3">
      <c r="A4" s="3" t="str">
        <f ca="1">MID(CELL("Filename",I7),SEARCH("]",CELL("Filename",I7),1)+1,100)</f>
        <v>Section 5- Adv Filter</v>
      </c>
    </row>
    <row r="7" spans="1:10" ht="18.5" x14ac:dyDescent="0.45">
      <c r="B7" s="5" t="s">
        <v>295</v>
      </c>
    </row>
    <row r="8" spans="1:10" ht="13" hidden="1" outlineLevel="1" x14ac:dyDescent="0.3">
      <c r="F8" s="46" t="s">
        <v>296</v>
      </c>
    </row>
    <row r="9" spans="1:10" ht="13" hidden="1" outlineLevel="1" x14ac:dyDescent="0.3">
      <c r="F9" s="50" t="s">
        <v>250</v>
      </c>
      <c r="G9" t="s">
        <v>246</v>
      </c>
      <c r="H9"/>
    </row>
    <row r="10" spans="1:10" ht="13" hidden="1" outlineLevel="1" x14ac:dyDescent="0.3">
      <c r="F10" s="51" t="s">
        <v>237</v>
      </c>
      <c r="G10" s="54">
        <v>1765</v>
      </c>
      <c r="H10"/>
    </row>
    <row r="11" spans="1:10" ht="13" hidden="1" outlineLevel="1" x14ac:dyDescent="0.3">
      <c r="F11" s="51" t="s">
        <v>245</v>
      </c>
      <c r="G11" s="54">
        <v>1444</v>
      </c>
      <c r="H11"/>
      <c r="I11"/>
    </row>
    <row r="12" spans="1:10" ht="13" hidden="1" outlineLevel="1" x14ac:dyDescent="0.3">
      <c r="F12" s="51" t="s">
        <v>240</v>
      </c>
      <c r="G12" s="54">
        <v>1357</v>
      </c>
      <c r="H12"/>
      <c r="I12"/>
    </row>
    <row r="13" spans="1:10" ht="13" hidden="1" outlineLevel="1" x14ac:dyDescent="0.3">
      <c r="F13" s="51" t="s">
        <v>239</v>
      </c>
      <c r="G13" s="54">
        <v>1246</v>
      </c>
      <c r="H13"/>
      <c r="I13"/>
    </row>
    <row r="14" spans="1:10" ht="13" hidden="1" outlineLevel="1" x14ac:dyDescent="0.3">
      <c r="F14" s="51" t="s">
        <v>244</v>
      </c>
      <c r="G14" s="54">
        <v>1011</v>
      </c>
      <c r="H14"/>
      <c r="I14"/>
    </row>
    <row r="15" spans="1:10" ht="13" hidden="1" outlineLevel="1" x14ac:dyDescent="0.3">
      <c r="F15" s="51" t="s">
        <v>238</v>
      </c>
      <c r="G15" s="54">
        <v>1008</v>
      </c>
      <c r="H15"/>
      <c r="I15"/>
    </row>
    <row r="16" spans="1:10" ht="13" hidden="1" outlineLevel="1" x14ac:dyDescent="0.3">
      <c r="F16" s="51" t="s">
        <v>242</v>
      </c>
      <c r="G16" s="54">
        <v>932</v>
      </c>
      <c r="H16"/>
      <c r="I16"/>
      <c r="J16"/>
    </row>
    <row r="17" spans="2:10" ht="13" hidden="1" outlineLevel="1" x14ac:dyDescent="0.3">
      <c r="F17" s="51" t="s">
        <v>235</v>
      </c>
      <c r="G17" s="54">
        <v>784</v>
      </c>
      <c r="H17"/>
      <c r="I17"/>
      <c r="J17"/>
    </row>
    <row r="18" spans="2:10" ht="13" hidden="1" outlineLevel="1" x14ac:dyDescent="0.3">
      <c r="F18" s="51" t="s">
        <v>236</v>
      </c>
      <c r="G18" s="54">
        <v>746</v>
      </c>
      <c r="H18"/>
      <c r="I18"/>
      <c r="J18"/>
    </row>
    <row r="19" spans="2:10" ht="13" hidden="1" outlineLevel="1" x14ac:dyDescent="0.3">
      <c r="F19" s="51" t="s">
        <v>243</v>
      </c>
      <c r="G19" s="54">
        <v>676</v>
      </c>
      <c r="H19"/>
      <c r="I19"/>
      <c r="J19"/>
    </row>
    <row r="20" spans="2:10" ht="13" hidden="1" outlineLevel="1" x14ac:dyDescent="0.3">
      <c r="F20" s="51" t="s">
        <v>232</v>
      </c>
      <c r="G20" s="54">
        <v>10969</v>
      </c>
    </row>
    <row r="21" spans="2:10" hidden="1" outlineLevel="1" x14ac:dyDescent="0.25"/>
    <row r="22" spans="2:10" hidden="1" outlineLevel="1" x14ac:dyDescent="0.25"/>
    <row r="23" spans="2:10" hidden="1" outlineLevel="1" x14ac:dyDescent="0.25"/>
    <row r="24" spans="2:10" ht="18.5" collapsed="1" x14ac:dyDescent="0.45">
      <c r="B24" s="5" t="s">
        <v>297</v>
      </c>
    </row>
    <row r="25" spans="2:10" ht="13" hidden="1" outlineLevel="1" x14ac:dyDescent="0.3">
      <c r="F25" s="64" t="s">
        <v>298</v>
      </c>
    </row>
    <row r="26" spans="2:10" ht="13" hidden="1" outlineLevel="1" x14ac:dyDescent="0.3">
      <c r="F26" s="50" t="s">
        <v>250</v>
      </c>
      <c r="G26" t="s">
        <v>246</v>
      </c>
      <c r="H26"/>
      <c r="I26"/>
    </row>
    <row r="27" spans="2:10" ht="13" hidden="1" outlineLevel="1" x14ac:dyDescent="0.3">
      <c r="F27" s="51" t="s">
        <v>237</v>
      </c>
      <c r="G27" s="54">
        <v>1765</v>
      </c>
      <c r="H27"/>
      <c r="I27"/>
    </row>
    <row r="28" spans="2:10" ht="13" hidden="1" outlineLevel="1" x14ac:dyDescent="0.3">
      <c r="F28" s="51" t="s">
        <v>245</v>
      </c>
      <c r="G28" s="54">
        <v>1444</v>
      </c>
      <c r="H28"/>
      <c r="I28"/>
    </row>
    <row r="29" spans="2:10" ht="13" hidden="1" outlineLevel="1" x14ac:dyDescent="0.3">
      <c r="F29" s="51" t="s">
        <v>240</v>
      </c>
      <c r="G29" s="54">
        <v>1357</v>
      </c>
      <c r="H29"/>
      <c r="I29"/>
    </row>
    <row r="30" spans="2:10" ht="13" hidden="1" outlineLevel="1" x14ac:dyDescent="0.3">
      <c r="F30" s="51" t="s">
        <v>239</v>
      </c>
      <c r="G30" s="54">
        <v>1246</v>
      </c>
      <c r="H30"/>
      <c r="I30"/>
    </row>
    <row r="31" spans="2:10" ht="13" hidden="1" outlineLevel="1" x14ac:dyDescent="0.3">
      <c r="F31" s="51" t="s">
        <v>244</v>
      </c>
      <c r="G31" s="54">
        <v>1011</v>
      </c>
      <c r="H31" s="65"/>
      <c r="I31" s="65"/>
    </row>
    <row r="32" spans="2:10" ht="13" hidden="1" outlineLevel="1" x14ac:dyDescent="0.3">
      <c r="F32" s="51" t="s">
        <v>238</v>
      </c>
      <c r="G32" s="54">
        <v>1008</v>
      </c>
      <c r="H32" s="67"/>
      <c r="I32" s="67"/>
    </row>
    <row r="33" spans="2:11" ht="13" hidden="1" outlineLevel="1" x14ac:dyDescent="0.3">
      <c r="F33" s="51" t="s">
        <v>242</v>
      </c>
      <c r="G33" s="54">
        <v>932</v>
      </c>
      <c r="H33" s="69"/>
      <c r="I33" s="69"/>
    </row>
    <row r="34" spans="2:11" ht="13" hidden="1" outlineLevel="1" x14ac:dyDescent="0.3">
      <c r="F34" s="51" t="s">
        <v>235</v>
      </c>
      <c r="G34" s="54">
        <v>784</v>
      </c>
      <c r="H34"/>
      <c r="I34"/>
    </row>
    <row r="35" spans="2:11" ht="13" hidden="1" outlineLevel="1" x14ac:dyDescent="0.3">
      <c r="F35" s="51" t="s">
        <v>236</v>
      </c>
      <c r="G35" s="54">
        <v>746</v>
      </c>
      <c r="H35"/>
      <c r="I35"/>
    </row>
    <row r="36" spans="2:11" ht="13" hidden="1" outlineLevel="1" x14ac:dyDescent="0.3">
      <c r="F36" s="51" t="s">
        <v>243</v>
      </c>
      <c r="G36" s="54">
        <v>676</v>
      </c>
    </row>
    <row r="37" spans="2:11" ht="13" hidden="1" outlineLevel="1" x14ac:dyDescent="0.3">
      <c r="F37" s="51" t="s">
        <v>241</v>
      </c>
      <c r="G37" s="54">
        <v>407</v>
      </c>
    </row>
    <row r="38" spans="2:11" ht="13" hidden="1" outlineLevel="1" x14ac:dyDescent="0.3">
      <c r="F38" s="51" t="s">
        <v>232</v>
      </c>
      <c r="G38" s="54">
        <v>11376</v>
      </c>
    </row>
    <row r="39" spans="2:11" hidden="1" outlineLevel="1" x14ac:dyDescent="0.25"/>
    <row r="40" spans="2:11" hidden="1" outlineLevel="1" x14ac:dyDescent="0.25"/>
    <row r="41" spans="2:11" hidden="1" outlineLevel="1" x14ac:dyDescent="0.25"/>
    <row r="42" spans="2:11" ht="18.5" collapsed="1" x14ac:dyDescent="0.45">
      <c r="B42" s="5" t="s">
        <v>299</v>
      </c>
    </row>
    <row r="43" spans="2:11" ht="13" hidden="1" outlineLevel="1" x14ac:dyDescent="0.3">
      <c r="B43"/>
      <c r="C43"/>
      <c r="D43"/>
      <c r="E43"/>
      <c r="F43" s="46" t="s">
        <v>300</v>
      </c>
      <c r="G43"/>
      <c r="J43"/>
      <c r="K43"/>
    </row>
    <row r="44" spans="2:11" ht="13" hidden="1" outlineLevel="1" x14ac:dyDescent="0.3">
      <c r="B44"/>
      <c r="C44"/>
      <c r="D44"/>
      <c r="E44"/>
      <c r="F44" s="50" t="s">
        <v>8</v>
      </c>
      <c r="G44" t="s">
        <v>234</v>
      </c>
      <c r="J44"/>
      <c r="K44"/>
    </row>
    <row r="45" spans="2:11" ht="13" hidden="1" outlineLevel="1" x14ac:dyDescent="0.3">
      <c r="B45"/>
      <c r="C45"/>
      <c r="D45"/>
      <c r="E45"/>
      <c r="F45" s="51" t="s">
        <v>17</v>
      </c>
      <c r="G45" s="52">
        <v>3016</v>
      </c>
      <c r="J45"/>
      <c r="K45"/>
    </row>
    <row r="46" spans="2:11" ht="13" hidden="1" outlineLevel="1" x14ac:dyDescent="0.3">
      <c r="B46"/>
      <c r="C46"/>
      <c r="D46"/>
      <c r="E46"/>
      <c r="F46" s="51" t="s">
        <v>21</v>
      </c>
      <c r="G46" s="52">
        <v>2856.5</v>
      </c>
      <c r="J46"/>
      <c r="K46"/>
    </row>
    <row r="47" spans="2:11" ht="13" hidden="1" outlineLevel="1" x14ac:dyDescent="0.3">
      <c r="B47"/>
      <c r="C47"/>
      <c r="D47"/>
      <c r="E47"/>
      <c r="F47" s="51" t="s">
        <v>27</v>
      </c>
      <c r="G47" s="52">
        <v>2845.59</v>
      </c>
      <c r="H47"/>
      <c r="I47"/>
      <c r="J47"/>
      <c r="K47"/>
    </row>
    <row r="48" spans="2:11" ht="13" hidden="1" outlineLevel="1" x14ac:dyDescent="0.3">
      <c r="B48"/>
      <c r="C48"/>
      <c r="D48"/>
      <c r="E48"/>
      <c r="F48" s="51" t="s">
        <v>35</v>
      </c>
      <c r="G48" s="52">
        <v>2628.2699999999995</v>
      </c>
      <c r="H48"/>
      <c r="I48"/>
      <c r="J48"/>
      <c r="K48"/>
    </row>
    <row r="49" spans="2:11" ht="13" hidden="1" outlineLevel="1" x14ac:dyDescent="0.3">
      <c r="B49"/>
      <c r="C49"/>
      <c r="D49"/>
      <c r="E49"/>
      <c r="F49" s="51" t="s">
        <v>24</v>
      </c>
      <c r="G49" s="52">
        <v>2552</v>
      </c>
      <c r="H49"/>
      <c r="I49"/>
      <c r="J49"/>
      <c r="K49"/>
    </row>
    <row r="50" spans="2:11" ht="13" hidden="1" outlineLevel="1" x14ac:dyDescent="0.3">
      <c r="B50"/>
      <c r="C50"/>
      <c r="D50"/>
      <c r="E50"/>
      <c r="F50" s="51" t="s">
        <v>29</v>
      </c>
      <c r="G50" s="52">
        <v>2407</v>
      </c>
      <c r="H50"/>
      <c r="I50"/>
      <c r="J50"/>
      <c r="K50"/>
    </row>
    <row r="51" spans="2:11" ht="13" hidden="1" outlineLevel="1" x14ac:dyDescent="0.3">
      <c r="B51"/>
      <c r="C51"/>
      <c r="D51"/>
      <c r="E51"/>
      <c r="F51" s="51" t="s">
        <v>31</v>
      </c>
      <c r="G51" s="52">
        <v>2276.5</v>
      </c>
      <c r="H51"/>
      <c r="I51"/>
      <c r="J51"/>
      <c r="K51"/>
    </row>
    <row r="52" spans="2:11" ht="13" hidden="1" outlineLevel="1" x14ac:dyDescent="0.3">
      <c r="B52"/>
      <c r="C52"/>
      <c r="D52"/>
      <c r="E52"/>
      <c r="F52" s="51" t="s">
        <v>80</v>
      </c>
      <c r="G52" s="52">
        <v>2106.0500000000002</v>
      </c>
      <c r="H52"/>
      <c r="I52"/>
      <c r="J52"/>
      <c r="K52"/>
    </row>
    <row r="53" spans="2:11" ht="13" hidden="1" outlineLevel="1" x14ac:dyDescent="0.3">
      <c r="B53"/>
      <c r="C53"/>
      <c r="D53"/>
      <c r="E53"/>
      <c r="F53" s="51" t="s">
        <v>33</v>
      </c>
      <c r="G53" s="52">
        <v>2059</v>
      </c>
      <c r="H53"/>
      <c r="I53"/>
      <c r="J53"/>
      <c r="K53"/>
    </row>
    <row r="54" spans="2:11" ht="13" hidden="1" outlineLevel="1" x14ac:dyDescent="0.3">
      <c r="B54"/>
      <c r="C54"/>
      <c r="D54"/>
      <c r="E54"/>
      <c r="F54" s="51" t="s">
        <v>38</v>
      </c>
      <c r="G54" s="52">
        <v>1845</v>
      </c>
      <c r="H54"/>
      <c r="I54"/>
      <c r="J54"/>
      <c r="K54"/>
    </row>
    <row r="55" spans="2:11" ht="13" hidden="1" outlineLevel="1" x14ac:dyDescent="0.3">
      <c r="B55"/>
      <c r="C55"/>
      <c r="D55"/>
      <c r="E55"/>
      <c r="F55" s="51" t="s">
        <v>41</v>
      </c>
      <c r="G55" s="52">
        <v>1791</v>
      </c>
      <c r="H55"/>
      <c r="I55"/>
      <c r="J55"/>
      <c r="K55"/>
    </row>
    <row r="56" spans="2:11" ht="13" hidden="1" outlineLevel="1" x14ac:dyDescent="0.3">
      <c r="B56"/>
      <c r="C56"/>
      <c r="D56"/>
      <c r="E56"/>
      <c r="F56" s="51" t="s">
        <v>43</v>
      </c>
      <c r="G56" s="52">
        <v>1692</v>
      </c>
      <c r="H56"/>
      <c r="I56"/>
      <c r="J56"/>
      <c r="K56"/>
    </row>
    <row r="57" spans="2:11" ht="13" hidden="1" outlineLevel="1" x14ac:dyDescent="0.3">
      <c r="B57"/>
      <c r="C57"/>
      <c r="D57"/>
      <c r="E57"/>
      <c r="F57" s="51" t="s">
        <v>45</v>
      </c>
      <c r="G57" s="52">
        <v>1692</v>
      </c>
      <c r="H57"/>
      <c r="I57"/>
      <c r="J57"/>
      <c r="K57"/>
    </row>
    <row r="58" spans="2:11" ht="13" hidden="1" outlineLevel="1" x14ac:dyDescent="0.3">
      <c r="F58" s="51" t="s">
        <v>47</v>
      </c>
      <c r="G58" s="52">
        <v>1668.33</v>
      </c>
      <c r="H58"/>
      <c r="I58"/>
    </row>
    <row r="59" spans="2:11" ht="13" hidden="1" outlineLevel="1" x14ac:dyDescent="0.3">
      <c r="F59" s="51" t="s">
        <v>49</v>
      </c>
      <c r="G59" s="52">
        <v>1628.3700000000001</v>
      </c>
      <c r="H59"/>
      <c r="I59"/>
      <c r="J59"/>
      <c r="K59"/>
    </row>
    <row r="60" spans="2:11" ht="13" hidden="1" outlineLevel="1" x14ac:dyDescent="0.3">
      <c r="F60" s="51" t="s">
        <v>51</v>
      </c>
      <c r="G60" s="52">
        <v>1530</v>
      </c>
      <c r="H60"/>
      <c r="I60"/>
    </row>
    <row r="61" spans="2:11" ht="13" hidden="1" outlineLevel="1" x14ac:dyDescent="0.3">
      <c r="F61" s="51" t="s">
        <v>53</v>
      </c>
      <c r="G61" s="52">
        <v>1479</v>
      </c>
      <c r="H61"/>
      <c r="I61"/>
    </row>
    <row r="62" spans="2:11" ht="13" hidden="1" outlineLevel="1" x14ac:dyDescent="0.3">
      <c r="F62" s="51" t="s">
        <v>55</v>
      </c>
      <c r="G62" s="52">
        <v>1440</v>
      </c>
      <c r="H62"/>
      <c r="I62"/>
    </row>
    <row r="63" spans="2:11" ht="13" hidden="1" outlineLevel="1" x14ac:dyDescent="0.3">
      <c r="F63" s="51" t="s">
        <v>57</v>
      </c>
      <c r="G63" s="52">
        <v>1425.96</v>
      </c>
      <c r="H63"/>
      <c r="I63"/>
    </row>
    <row r="64" spans="2:11" ht="13" hidden="1" outlineLevel="1" x14ac:dyDescent="0.3">
      <c r="F64" s="51" t="s">
        <v>60</v>
      </c>
      <c r="G64" s="52">
        <v>1408.59</v>
      </c>
      <c r="H64"/>
      <c r="I64"/>
    </row>
    <row r="65" spans="6:9" ht="13" hidden="1" outlineLevel="1" x14ac:dyDescent="0.3">
      <c r="F65" s="51" t="s">
        <v>87</v>
      </c>
      <c r="G65" s="52">
        <v>1359</v>
      </c>
      <c r="H65"/>
      <c r="I65"/>
    </row>
    <row r="66" spans="6:9" ht="13" hidden="1" outlineLevel="1" x14ac:dyDescent="0.3">
      <c r="F66" s="51" t="s">
        <v>62</v>
      </c>
      <c r="G66" s="52">
        <v>1323</v>
      </c>
      <c r="H66"/>
      <c r="I66"/>
    </row>
    <row r="67" spans="6:9" ht="13" hidden="1" outlineLevel="1" x14ac:dyDescent="0.3">
      <c r="F67" s="51" t="s">
        <v>73</v>
      </c>
      <c r="G67" s="52">
        <v>1293</v>
      </c>
      <c r="H67"/>
      <c r="I67"/>
    </row>
    <row r="68" spans="6:9" ht="13" hidden="1" outlineLevel="1" x14ac:dyDescent="0.3">
      <c r="F68" s="51" t="s">
        <v>64</v>
      </c>
      <c r="G68" s="52">
        <v>1286.1600000000001</v>
      </c>
      <c r="H68"/>
      <c r="I68"/>
    </row>
    <row r="69" spans="6:9" ht="13" hidden="1" outlineLevel="1" x14ac:dyDescent="0.3">
      <c r="F69" s="51" t="s">
        <v>66</v>
      </c>
      <c r="G69" s="52">
        <v>1269</v>
      </c>
      <c r="H69"/>
      <c r="I69"/>
    </row>
    <row r="70" spans="6:9" ht="13" hidden="1" outlineLevel="1" x14ac:dyDescent="0.3">
      <c r="F70" s="51" t="s">
        <v>68</v>
      </c>
      <c r="G70" s="52">
        <v>1215</v>
      </c>
      <c r="H70"/>
      <c r="I70"/>
    </row>
    <row r="71" spans="6:9" ht="13" hidden="1" outlineLevel="1" x14ac:dyDescent="0.3">
      <c r="F71" s="51" t="s">
        <v>70</v>
      </c>
      <c r="G71" s="52">
        <v>1144</v>
      </c>
      <c r="H71"/>
      <c r="I71"/>
    </row>
    <row r="72" spans="6:9" ht="13" hidden="1" outlineLevel="1" x14ac:dyDescent="0.3">
      <c r="F72" s="51" t="s">
        <v>76</v>
      </c>
      <c r="G72" s="52">
        <v>1058.5</v>
      </c>
      <c r="H72"/>
      <c r="I72"/>
    </row>
    <row r="73" spans="6:9" ht="13" hidden="1" outlineLevel="1" x14ac:dyDescent="0.3">
      <c r="F73" s="51" t="s">
        <v>78</v>
      </c>
      <c r="G73" s="52">
        <v>1044</v>
      </c>
      <c r="H73"/>
      <c r="I73"/>
    </row>
    <row r="74" spans="6:9" ht="13" hidden="1" outlineLevel="1" x14ac:dyDescent="0.3">
      <c r="F74" s="51" t="s">
        <v>117</v>
      </c>
      <c r="G74" s="52">
        <v>1037.08</v>
      </c>
      <c r="H74"/>
      <c r="I74"/>
    </row>
    <row r="75" spans="6:9" ht="13" hidden="1" outlineLevel="1" x14ac:dyDescent="0.3">
      <c r="F75" s="51" t="s">
        <v>131</v>
      </c>
      <c r="G75" s="52">
        <v>1009.11</v>
      </c>
      <c r="H75"/>
      <c r="I75"/>
    </row>
    <row r="76" spans="6:9" ht="13" hidden="1" outlineLevel="1" x14ac:dyDescent="0.3">
      <c r="F76" s="51" t="s">
        <v>85</v>
      </c>
      <c r="G76" s="52">
        <v>973.5</v>
      </c>
      <c r="H76"/>
      <c r="I76"/>
    </row>
    <row r="77" spans="6:9" ht="13" hidden="1" outlineLevel="1" x14ac:dyDescent="0.3">
      <c r="F77" s="51" t="s">
        <v>82</v>
      </c>
      <c r="G77" s="52">
        <v>913.5</v>
      </c>
      <c r="H77"/>
      <c r="I77"/>
    </row>
    <row r="78" spans="6:9" ht="13" hidden="1" outlineLevel="1" x14ac:dyDescent="0.3">
      <c r="F78" s="51" t="s">
        <v>133</v>
      </c>
      <c r="G78" s="52">
        <v>907.16</v>
      </c>
      <c r="H78"/>
      <c r="I78"/>
    </row>
    <row r="79" spans="6:9" ht="13" hidden="1" outlineLevel="1" x14ac:dyDescent="0.3">
      <c r="F79" s="51" t="s">
        <v>89</v>
      </c>
      <c r="G79" s="52">
        <v>873.75</v>
      </c>
    </row>
    <row r="80" spans="6:9" ht="13" hidden="1" outlineLevel="1" x14ac:dyDescent="0.3">
      <c r="F80" s="51" t="s">
        <v>91</v>
      </c>
      <c r="G80" s="52">
        <v>850.5</v>
      </c>
    </row>
    <row r="81" spans="6:7" ht="13" hidden="1" outlineLevel="1" x14ac:dyDescent="0.3">
      <c r="F81" s="51" t="s">
        <v>144</v>
      </c>
      <c r="G81" s="52">
        <v>836.5</v>
      </c>
    </row>
    <row r="82" spans="6:7" ht="13" hidden="1" outlineLevel="1" x14ac:dyDescent="0.3">
      <c r="F82" s="51" t="s">
        <v>93</v>
      </c>
      <c r="G82" s="52">
        <v>819</v>
      </c>
    </row>
    <row r="83" spans="6:7" ht="13" hidden="1" outlineLevel="1" x14ac:dyDescent="0.3">
      <c r="F83" s="51" t="s">
        <v>163</v>
      </c>
      <c r="G83" s="52">
        <v>807</v>
      </c>
    </row>
    <row r="84" spans="6:7" ht="13" hidden="1" outlineLevel="1" x14ac:dyDescent="0.3">
      <c r="F84" s="51" t="s">
        <v>95</v>
      </c>
      <c r="G84" s="52">
        <v>801.99</v>
      </c>
    </row>
    <row r="85" spans="6:7" ht="13" hidden="1" outlineLevel="1" x14ac:dyDescent="0.3">
      <c r="F85" s="51" t="s">
        <v>98</v>
      </c>
      <c r="G85" s="52">
        <v>801</v>
      </c>
    </row>
    <row r="86" spans="6:7" ht="13" hidden="1" outlineLevel="1" x14ac:dyDescent="0.3">
      <c r="F86" s="51" t="s">
        <v>100</v>
      </c>
      <c r="G86" s="52">
        <v>754.92000000000007</v>
      </c>
    </row>
    <row r="87" spans="6:7" ht="13" hidden="1" outlineLevel="1" x14ac:dyDescent="0.3">
      <c r="F87" s="51" t="s">
        <v>102</v>
      </c>
      <c r="G87" s="52">
        <v>750</v>
      </c>
    </row>
    <row r="88" spans="6:7" ht="13" hidden="1" outlineLevel="1" x14ac:dyDescent="0.3">
      <c r="F88" s="51" t="s">
        <v>104</v>
      </c>
      <c r="G88" s="52">
        <v>742.5</v>
      </c>
    </row>
    <row r="89" spans="6:7" ht="13" hidden="1" outlineLevel="1" x14ac:dyDescent="0.3">
      <c r="F89" s="51" t="s">
        <v>125</v>
      </c>
      <c r="G89" s="52">
        <v>732.87</v>
      </c>
    </row>
    <row r="90" spans="6:7" ht="13" hidden="1" outlineLevel="1" x14ac:dyDescent="0.3">
      <c r="F90" s="51" t="s">
        <v>113</v>
      </c>
      <c r="G90" s="52">
        <v>717</v>
      </c>
    </row>
    <row r="91" spans="6:7" ht="13" hidden="1" outlineLevel="1" x14ac:dyDescent="0.3">
      <c r="F91" s="51" t="s">
        <v>121</v>
      </c>
      <c r="G91" s="52">
        <v>714.45</v>
      </c>
    </row>
    <row r="92" spans="6:7" ht="13" hidden="1" outlineLevel="1" x14ac:dyDescent="0.3">
      <c r="F92" s="51" t="s">
        <v>109</v>
      </c>
      <c r="G92" s="52">
        <v>678.30000000000007</v>
      </c>
    </row>
    <row r="93" spans="6:7" ht="13" hidden="1" outlineLevel="1" x14ac:dyDescent="0.3">
      <c r="F93" s="51" t="s">
        <v>111</v>
      </c>
      <c r="G93" s="52">
        <v>678</v>
      </c>
    </row>
    <row r="94" spans="6:7" ht="13" hidden="1" outlineLevel="1" x14ac:dyDescent="0.3">
      <c r="F94" s="51" t="s">
        <v>178</v>
      </c>
      <c r="G94" s="52">
        <v>645.63</v>
      </c>
    </row>
    <row r="95" spans="6:7" ht="13" hidden="1" outlineLevel="1" x14ac:dyDescent="0.3">
      <c r="F95" s="51" t="s">
        <v>115</v>
      </c>
      <c r="G95" s="52">
        <v>621</v>
      </c>
    </row>
    <row r="96" spans="6:7" ht="13" hidden="1" outlineLevel="1" x14ac:dyDescent="0.3">
      <c r="F96" s="51" t="s">
        <v>119</v>
      </c>
      <c r="G96" s="52">
        <v>617.5</v>
      </c>
    </row>
    <row r="97" spans="6:7" ht="13" hidden="1" outlineLevel="1" x14ac:dyDescent="0.3">
      <c r="F97" s="51" t="s">
        <v>123</v>
      </c>
      <c r="G97" s="52">
        <v>604.5</v>
      </c>
    </row>
    <row r="98" spans="6:7" ht="13" hidden="1" outlineLevel="1" x14ac:dyDescent="0.3">
      <c r="F98" s="51" t="s">
        <v>127</v>
      </c>
      <c r="G98" s="52">
        <v>602.49</v>
      </c>
    </row>
    <row r="99" spans="6:7" ht="13" hidden="1" outlineLevel="1" x14ac:dyDescent="0.3">
      <c r="F99" s="51" t="s">
        <v>129</v>
      </c>
      <c r="G99" s="52">
        <v>600</v>
      </c>
    </row>
    <row r="100" spans="6:7" ht="13" hidden="1" outlineLevel="1" x14ac:dyDescent="0.3">
      <c r="F100" s="51" t="s">
        <v>135</v>
      </c>
      <c r="G100" s="52">
        <v>573.18000000000006</v>
      </c>
    </row>
    <row r="101" spans="6:7" ht="13" hidden="1" outlineLevel="1" x14ac:dyDescent="0.3">
      <c r="F101" s="51" t="s">
        <v>137</v>
      </c>
      <c r="G101" s="52">
        <v>567</v>
      </c>
    </row>
    <row r="102" spans="6:7" ht="13" hidden="1" outlineLevel="1" x14ac:dyDescent="0.3">
      <c r="F102" s="51" t="s">
        <v>139</v>
      </c>
      <c r="G102" s="52">
        <v>546.63</v>
      </c>
    </row>
    <row r="103" spans="6:7" ht="13" hidden="1" outlineLevel="1" x14ac:dyDescent="0.3">
      <c r="F103" s="51" t="s">
        <v>141</v>
      </c>
      <c r="G103" s="52">
        <v>537</v>
      </c>
    </row>
    <row r="104" spans="6:7" ht="13" hidden="1" outlineLevel="1" x14ac:dyDescent="0.3">
      <c r="F104" s="51" t="s">
        <v>146</v>
      </c>
      <c r="G104" s="52">
        <v>534</v>
      </c>
    </row>
    <row r="105" spans="6:7" ht="13" hidden="1" outlineLevel="1" x14ac:dyDescent="0.3">
      <c r="F105" s="51" t="s">
        <v>148</v>
      </c>
      <c r="G105" s="52">
        <v>522.69000000000005</v>
      </c>
    </row>
    <row r="106" spans="6:7" ht="13" hidden="1" outlineLevel="1" x14ac:dyDescent="0.3">
      <c r="F106" s="51" t="s">
        <v>150</v>
      </c>
      <c r="G106" s="52">
        <v>500.5</v>
      </c>
    </row>
    <row r="107" spans="6:7" ht="13" hidden="1" outlineLevel="1" x14ac:dyDescent="0.3">
      <c r="F107" s="51" t="s">
        <v>152</v>
      </c>
      <c r="G107" s="52">
        <v>492</v>
      </c>
    </row>
    <row r="108" spans="6:7" ht="13" hidden="1" outlineLevel="1" x14ac:dyDescent="0.3">
      <c r="F108" s="51" t="s">
        <v>155</v>
      </c>
      <c r="G108" s="52">
        <v>486.78000000000003</v>
      </c>
    </row>
    <row r="109" spans="6:7" ht="13" hidden="1" outlineLevel="1" x14ac:dyDescent="0.3">
      <c r="F109" s="51" t="s">
        <v>159</v>
      </c>
      <c r="G109" s="52">
        <v>468.33000000000004</v>
      </c>
    </row>
    <row r="110" spans="6:7" ht="13" hidden="1" outlineLevel="1" x14ac:dyDescent="0.3">
      <c r="F110" s="51" t="s">
        <v>161</v>
      </c>
      <c r="G110" s="52">
        <v>461.5</v>
      </c>
    </row>
    <row r="111" spans="6:7" ht="13" hidden="1" outlineLevel="1" x14ac:dyDescent="0.3">
      <c r="F111" s="51" t="s">
        <v>165</v>
      </c>
      <c r="G111" s="52">
        <v>423</v>
      </c>
    </row>
    <row r="112" spans="6:7" ht="13" hidden="1" outlineLevel="1" x14ac:dyDescent="0.3">
      <c r="F112" s="51" t="s">
        <v>167</v>
      </c>
      <c r="G112" s="52">
        <v>422.5</v>
      </c>
    </row>
    <row r="113" spans="6:7" ht="13" hidden="1" outlineLevel="1" x14ac:dyDescent="0.3">
      <c r="F113" s="51" t="s">
        <v>170</v>
      </c>
      <c r="G113" s="52">
        <v>416</v>
      </c>
    </row>
    <row r="114" spans="6:7" ht="13" hidden="1" outlineLevel="1" x14ac:dyDescent="0.3">
      <c r="F114" s="51" t="s">
        <v>174</v>
      </c>
      <c r="G114" s="52">
        <v>409.59000000000003</v>
      </c>
    </row>
    <row r="115" spans="6:7" ht="13" hidden="1" outlineLevel="1" x14ac:dyDescent="0.3">
      <c r="F115" s="51" t="s">
        <v>176</v>
      </c>
      <c r="G115" s="52">
        <v>405</v>
      </c>
    </row>
    <row r="116" spans="6:7" ht="13" hidden="1" outlineLevel="1" x14ac:dyDescent="0.3">
      <c r="F116" s="51" t="s">
        <v>180</v>
      </c>
      <c r="G116" s="52">
        <v>382.5</v>
      </c>
    </row>
    <row r="117" spans="6:7" ht="13" hidden="1" outlineLevel="1" x14ac:dyDescent="0.3">
      <c r="F117" s="51" t="s">
        <v>183</v>
      </c>
      <c r="G117" s="52">
        <v>336</v>
      </c>
    </row>
    <row r="118" spans="6:7" ht="13" hidden="1" outlineLevel="1" x14ac:dyDescent="0.3">
      <c r="F118" s="51" t="s">
        <v>185</v>
      </c>
      <c r="G118" s="52">
        <v>319.20000000000005</v>
      </c>
    </row>
    <row r="119" spans="6:7" ht="13" hidden="1" outlineLevel="1" x14ac:dyDescent="0.3">
      <c r="F119" s="51" t="s">
        <v>187</v>
      </c>
      <c r="G119" s="52">
        <v>312</v>
      </c>
    </row>
    <row r="120" spans="6:7" ht="13" hidden="1" outlineLevel="1" x14ac:dyDescent="0.3">
      <c r="F120" s="51" t="s">
        <v>196</v>
      </c>
      <c r="G120" s="52">
        <v>276</v>
      </c>
    </row>
    <row r="121" spans="6:7" ht="13" hidden="1" outlineLevel="1" x14ac:dyDescent="0.3">
      <c r="F121" s="51" t="s">
        <v>191</v>
      </c>
      <c r="G121" s="52">
        <v>261</v>
      </c>
    </row>
    <row r="122" spans="6:7" ht="13" hidden="1" outlineLevel="1" x14ac:dyDescent="0.3">
      <c r="F122" s="51" t="s">
        <v>193</v>
      </c>
      <c r="G122" s="52">
        <v>259.35000000000002</v>
      </c>
    </row>
    <row r="123" spans="6:7" ht="13" hidden="1" outlineLevel="1" x14ac:dyDescent="0.3">
      <c r="F123" s="51" t="s">
        <v>198</v>
      </c>
      <c r="G123" s="52">
        <v>231</v>
      </c>
    </row>
    <row r="124" spans="6:7" ht="13" hidden="1" outlineLevel="1" x14ac:dyDescent="0.3">
      <c r="F124" s="51" t="s">
        <v>200</v>
      </c>
      <c r="G124" s="52">
        <v>227.43</v>
      </c>
    </row>
    <row r="125" spans="6:7" ht="13" hidden="1" outlineLevel="1" x14ac:dyDescent="0.3">
      <c r="F125" s="51" t="s">
        <v>202</v>
      </c>
      <c r="G125" s="52">
        <v>219.78</v>
      </c>
    </row>
    <row r="126" spans="6:7" ht="13" hidden="1" outlineLevel="1" x14ac:dyDescent="0.3">
      <c r="F126" s="51" t="s">
        <v>206</v>
      </c>
      <c r="G126" s="52">
        <v>143</v>
      </c>
    </row>
    <row r="127" spans="6:7" ht="13" hidden="1" outlineLevel="1" x14ac:dyDescent="0.3">
      <c r="F127" s="51" t="s">
        <v>208</v>
      </c>
      <c r="G127" s="52">
        <v>139.86000000000001</v>
      </c>
    </row>
    <row r="128" spans="6:7" ht="13" hidden="1" outlineLevel="1" x14ac:dyDescent="0.3">
      <c r="F128" s="51" t="s">
        <v>211</v>
      </c>
      <c r="G128" s="52">
        <v>111.72</v>
      </c>
    </row>
    <row r="129" spans="2:8" ht="13" hidden="1" outlineLevel="1" x14ac:dyDescent="0.3">
      <c r="F129" s="51" t="s">
        <v>215</v>
      </c>
      <c r="G129" s="52">
        <v>54</v>
      </c>
    </row>
    <row r="130" spans="2:8" ht="13" hidden="1" outlineLevel="1" x14ac:dyDescent="0.3">
      <c r="F130" s="51" t="s">
        <v>217</v>
      </c>
      <c r="G130" s="52">
        <v>45</v>
      </c>
    </row>
    <row r="131" spans="2:8" ht="13" hidden="1" outlineLevel="1" x14ac:dyDescent="0.3">
      <c r="F131" s="51" t="s">
        <v>222</v>
      </c>
      <c r="G131" s="52">
        <v>31.5</v>
      </c>
    </row>
    <row r="132" spans="2:8" ht="13" hidden="1" outlineLevel="1" x14ac:dyDescent="0.3">
      <c r="F132" s="51" t="s">
        <v>232</v>
      </c>
      <c r="G132" s="52">
        <v>82543.11000000003</v>
      </c>
    </row>
    <row r="133" spans="2:8" ht="18.5" collapsed="1" x14ac:dyDescent="0.45">
      <c r="B133" s="5" t="s">
        <v>301</v>
      </c>
      <c r="F133"/>
      <c r="G133"/>
      <c r="H133"/>
    </row>
    <row r="134" spans="2:8" ht="13" hidden="1" outlineLevel="1" x14ac:dyDescent="0.3">
      <c r="B134"/>
      <c r="C134"/>
      <c r="D134"/>
      <c r="E134"/>
      <c r="F134" s="46" t="s">
        <v>302</v>
      </c>
      <c r="G134"/>
      <c r="H134"/>
    </row>
    <row r="135" spans="2:8" ht="13" hidden="1" outlineLevel="1" x14ac:dyDescent="0.3">
      <c r="B135"/>
      <c r="C135"/>
      <c r="D135"/>
      <c r="E135"/>
      <c r="F135"/>
      <c r="G135" t="s">
        <v>5</v>
      </c>
      <c r="H135"/>
    </row>
    <row r="136" spans="2:8" ht="13" hidden="1" outlineLevel="1" x14ac:dyDescent="0.3">
      <c r="B136"/>
      <c r="C136"/>
      <c r="D136"/>
      <c r="E136"/>
      <c r="F136" s="74" t="s">
        <v>27</v>
      </c>
      <c r="G136" s="74">
        <f>GETPIVOTDATA("Revenue",$F$44,"Country","Canada")</f>
        <v>2845.59</v>
      </c>
      <c r="H136"/>
    </row>
    <row r="137" spans="2:8" ht="13" hidden="1" outlineLevel="1" x14ac:dyDescent="0.3">
      <c r="B137"/>
      <c r="C137"/>
      <c r="D137"/>
      <c r="E137"/>
      <c r="F137" s="74" t="s">
        <v>31</v>
      </c>
      <c r="G137" s="74"/>
      <c r="H137"/>
    </row>
    <row r="138" spans="2:8" ht="13" hidden="1" outlineLevel="1" x14ac:dyDescent="0.3">
      <c r="B138"/>
      <c r="F138"/>
      <c r="G138"/>
    </row>
    <row r="139" spans="2:8" ht="13" hidden="1" outlineLevel="1" x14ac:dyDescent="0.3">
      <c r="B139"/>
      <c r="F139"/>
      <c r="G139"/>
      <c r="H139"/>
    </row>
    <row r="140" spans="2:8" ht="18.5" collapsed="1" x14ac:dyDescent="0.45">
      <c r="B140" s="5" t="s">
        <v>303</v>
      </c>
      <c r="F140"/>
      <c r="G140"/>
      <c r="H140"/>
    </row>
    <row r="141" spans="2:8" ht="13" hidden="1" outlineLevel="1" x14ac:dyDescent="0.3">
      <c r="B141"/>
      <c r="C141"/>
      <c r="D141"/>
      <c r="E141"/>
      <c r="F141" s="46" t="s">
        <v>304</v>
      </c>
      <c r="G141"/>
      <c r="H141"/>
    </row>
    <row r="142" spans="2:8" ht="13" hidden="1" outlineLevel="1" x14ac:dyDescent="0.3">
      <c r="B142"/>
      <c r="C142"/>
      <c r="D142"/>
      <c r="E142"/>
      <c r="F142"/>
      <c r="G142" t="s">
        <v>5</v>
      </c>
      <c r="H142"/>
    </row>
    <row r="143" spans="2:8" ht="13" hidden="1" outlineLevel="1" x14ac:dyDescent="0.3">
      <c r="B143"/>
      <c r="C143"/>
      <c r="D143"/>
      <c r="E143"/>
      <c r="F143" s="74" t="s">
        <v>27</v>
      </c>
      <c r="G143" s="74">
        <f>GETPIVOTDATA("Revenue",$F$44,"Country","Canada")</f>
        <v>2845.59</v>
      </c>
      <c r="H143"/>
    </row>
    <row r="144" spans="2:8" ht="13" hidden="1" outlineLevel="1" x14ac:dyDescent="0.3">
      <c r="B144"/>
      <c r="C144"/>
      <c r="D144"/>
      <c r="E144"/>
      <c r="F144" s="74" t="s">
        <v>29</v>
      </c>
      <c r="G144" s="74"/>
      <c r="H144"/>
    </row>
    <row r="145" spans="2:7" ht="13" hidden="1" outlineLevel="1" x14ac:dyDescent="0.3">
      <c r="B145"/>
      <c r="F145"/>
      <c r="G145"/>
    </row>
    <row r="146" spans="2:7" hidden="1" outlineLevel="1" x14ac:dyDescent="0.25"/>
    <row r="147" spans="2:7" hidden="1" outlineLevel="1" x14ac:dyDescent="0.25"/>
    <row r="148" spans="2:7" hidden="1" outlineLevel="1" x14ac:dyDescent="0.25"/>
    <row r="149" spans="2:7" hidden="1" outlineLevel="1" x14ac:dyDescent="0.25"/>
    <row r="150" spans="2:7" hidden="1" outlineLevel="1" x14ac:dyDescent="0.25"/>
    <row r="151" spans="2:7" collapsed="1" x14ac:dyDescent="0.25"/>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3313" r:id="rId7" name="Button 1">
              <controlPr defaultSize="0" print="0" autoFill="0" autoPict="0" macro="[0]!ThisWorkbook.Advanced_Send_To_Answer_1">
                <anchor moveWithCells="1" sizeWithCells="1">
                  <from>
                    <xdr:col>15</xdr:col>
                    <xdr:colOff>76200</xdr:colOff>
                    <xdr:row>13</xdr:row>
                    <xdr:rowOff>31750</xdr:rowOff>
                  </from>
                  <to>
                    <xdr:col>18</xdr:col>
                    <xdr:colOff>222250</xdr:colOff>
                    <xdr:row>16</xdr:row>
                    <xdr:rowOff>69850</xdr:rowOff>
                  </to>
                </anchor>
              </controlPr>
            </control>
          </mc:Choice>
        </mc:AlternateContent>
        <mc:AlternateContent xmlns:mc="http://schemas.openxmlformats.org/markup-compatibility/2006">
          <mc:Choice Requires="x14">
            <control shapeId="13314" r:id="rId8" name="Button 2">
              <controlPr defaultSize="0" print="0" autoFill="0" autoPict="0" macro="[0]!ThisWorkbook.Advanced_Send_To_Answer_2">
                <anchor moveWithCells="1" sizeWithCells="1">
                  <from>
                    <xdr:col>15</xdr:col>
                    <xdr:colOff>107950</xdr:colOff>
                    <xdr:row>27</xdr:row>
                    <xdr:rowOff>69850</xdr:rowOff>
                  </from>
                  <to>
                    <xdr:col>18</xdr:col>
                    <xdr:colOff>260350</xdr:colOff>
                    <xdr:row>30</xdr:row>
                    <xdr:rowOff>107950</xdr:rowOff>
                  </to>
                </anchor>
              </controlPr>
            </control>
          </mc:Choice>
        </mc:AlternateContent>
        <mc:AlternateContent xmlns:mc="http://schemas.openxmlformats.org/markup-compatibility/2006">
          <mc:Choice Requires="x14">
            <control shapeId="13315" r:id="rId9" name="Button 3">
              <controlPr defaultSize="0" print="0" autoFill="0" autoPict="0" macro="[0]!ThisWorkbook.Advanced_Send_To_Answer_3">
                <anchor moveWithCells="1" sizeWithCells="1">
                  <from>
                    <xdr:col>15</xdr:col>
                    <xdr:colOff>107950</xdr:colOff>
                    <xdr:row>49</xdr:row>
                    <xdr:rowOff>107950</xdr:rowOff>
                  </from>
                  <to>
                    <xdr:col>18</xdr:col>
                    <xdr:colOff>228600</xdr:colOff>
                    <xdr:row>52</xdr:row>
                    <xdr:rowOff>146050</xdr:rowOff>
                  </to>
                </anchor>
              </controlPr>
            </control>
          </mc:Choice>
        </mc:AlternateContent>
        <mc:AlternateContent xmlns:mc="http://schemas.openxmlformats.org/markup-compatibility/2006">
          <mc:Choice Requires="x14">
            <control shapeId="13316" r:id="rId10" name="Button 4">
              <controlPr defaultSize="0" print="0" autoFill="0" autoPict="0" macro="[0]!ThisWorkbook.Advanced_Send_To_Answer_4">
                <anchor moveWithCells="1" sizeWithCells="1">
                  <from>
                    <xdr:col>14</xdr:col>
                    <xdr:colOff>298450</xdr:colOff>
                    <xdr:row>135</xdr:row>
                    <xdr:rowOff>69850</xdr:rowOff>
                  </from>
                  <to>
                    <xdr:col>17</xdr:col>
                    <xdr:colOff>419100</xdr:colOff>
                    <xdr:row>138</xdr:row>
                    <xdr:rowOff>107950</xdr:rowOff>
                  </to>
                </anchor>
              </controlPr>
            </control>
          </mc:Choice>
        </mc:AlternateContent>
        <mc:AlternateContent xmlns:mc="http://schemas.openxmlformats.org/markup-compatibility/2006">
          <mc:Choice Requires="x14">
            <control shapeId="13317" r:id="rId11" name="Button 5">
              <controlPr defaultSize="0" print="0" autoFill="0" autoPict="0" macro="[0]!ThisWorkbook.Advanced_Send_To_Answer_5">
                <anchor moveWithCells="1" sizeWithCells="1">
                  <from>
                    <xdr:col>14</xdr:col>
                    <xdr:colOff>304800</xdr:colOff>
                    <xdr:row>144</xdr:row>
                    <xdr:rowOff>12700</xdr:rowOff>
                  </from>
                  <to>
                    <xdr:col>17</xdr:col>
                    <xdr:colOff>450850</xdr:colOff>
                    <xdr:row>147</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tint="0.39997558519241921"/>
  </sheetPr>
  <dimension ref="A1:S162"/>
  <sheetViews>
    <sheetView showGridLines="0" topLeftCell="A47" zoomScale="80" workbookViewId="0">
      <selection activeCell="P66" sqref="P66"/>
    </sheetView>
  </sheetViews>
  <sheetFormatPr defaultColWidth="9.33203125" defaultRowHeight="12.5" outlineLevelRow="1" x14ac:dyDescent="0.25"/>
  <cols>
    <col min="1" max="5" width="9.33203125" style="2"/>
    <col min="6" max="6" width="31.33203125" style="2" customWidth="1"/>
    <col min="7" max="7" width="20.6640625" style="2" customWidth="1"/>
    <col min="8" max="8" width="15.33203125" style="2" bestFit="1" customWidth="1"/>
    <col min="9" max="9" width="14.33203125" style="2" bestFit="1" customWidth="1"/>
    <col min="10" max="10" width="15.77734375" style="2" bestFit="1" customWidth="1"/>
    <col min="11" max="11" width="9.33203125" style="2" customWidth="1"/>
    <col min="12" max="12" width="9.33203125" style="2" bestFit="1" customWidth="1"/>
    <col min="13" max="16" width="9.33203125" style="2"/>
    <col min="17" max="17" width="31.33203125" style="2" customWidth="1"/>
    <col min="18" max="18" width="20.6640625" style="2" customWidth="1"/>
    <col min="19" max="19" width="20.77734375" style="2" bestFit="1" customWidth="1"/>
    <col min="20" max="16384" width="9.33203125" style="2"/>
  </cols>
  <sheetData>
    <row r="1" spans="1:18" ht="13" x14ac:dyDescent="0.3">
      <c r="A1" s="3" t="str">
        <f>Introduction!A1</f>
        <v>Problem Solving with Excel</v>
      </c>
    </row>
    <row r="2" spans="1:18" ht="13" x14ac:dyDescent="0.3">
      <c r="A2" s="3" t="str">
        <f>Introduction!A2</f>
        <v>Week 3</v>
      </c>
    </row>
    <row r="3" spans="1:18" ht="13" x14ac:dyDescent="0.3">
      <c r="A3" s="3" t="str">
        <f>Introduction!A3</f>
        <v>Pivot Tables</v>
      </c>
    </row>
    <row r="4" spans="1:18" ht="13" x14ac:dyDescent="0.3">
      <c r="A4" s="3" t="str">
        <f ca="1">MID(CELL("Filename",I7),SEARCH("]",CELL("Filename",I7),1)+1,100)</f>
        <v>Section 5 -Adv Filter (ANS)</v>
      </c>
    </row>
    <row r="5" spans="1:18" x14ac:dyDescent="0.25">
      <c r="P5" s="6"/>
    </row>
    <row r="6" spans="1:18" ht="13" x14ac:dyDescent="0.3">
      <c r="Q6"/>
      <c r="R6"/>
    </row>
    <row r="7" spans="1:18" ht="18.5" x14ac:dyDescent="0.45">
      <c r="B7" s="5" t="s">
        <v>295</v>
      </c>
    </row>
    <row r="8" spans="1:18" ht="13" outlineLevel="1" x14ac:dyDescent="0.3">
      <c r="F8" s="46" t="s">
        <v>296</v>
      </c>
      <c r="K8"/>
      <c r="L8"/>
      <c r="M8"/>
    </row>
    <row r="9" spans="1:18" ht="13" outlineLevel="1" x14ac:dyDescent="0.3">
      <c r="F9" s="50" t="s">
        <v>250</v>
      </c>
      <c r="G9" t="s">
        <v>246</v>
      </c>
      <c r="H9"/>
      <c r="K9"/>
      <c r="L9"/>
      <c r="M9"/>
    </row>
    <row r="10" spans="1:18" ht="13" outlineLevel="1" x14ac:dyDescent="0.3">
      <c r="F10" s="51" t="s">
        <v>237</v>
      </c>
      <c r="G10" s="54">
        <v>1765</v>
      </c>
      <c r="H10"/>
      <c r="K10"/>
      <c r="L10"/>
      <c r="M10"/>
    </row>
    <row r="11" spans="1:18" ht="13" outlineLevel="1" x14ac:dyDescent="0.3">
      <c r="F11" s="51" t="s">
        <v>245</v>
      </c>
      <c r="G11" s="54">
        <v>1444</v>
      </c>
      <c r="H11"/>
      <c r="I11"/>
      <c r="J11"/>
      <c r="K11"/>
      <c r="L11"/>
      <c r="M11"/>
    </row>
    <row r="12" spans="1:18" ht="13" outlineLevel="1" x14ac:dyDescent="0.3">
      <c r="F12" s="51" t="s">
        <v>240</v>
      </c>
      <c r="G12" s="54">
        <v>1357</v>
      </c>
      <c r="H12"/>
      <c r="I12"/>
      <c r="J12"/>
      <c r="K12"/>
      <c r="L12"/>
      <c r="M12"/>
    </row>
    <row r="13" spans="1:18" ht="13" outlineLevel="1" x14ac:dyDescent="0.3">
      <c r="F13" s="51" t="s">
        <v>239</v>
      </c>
      <c r="G13" s="54">
        <v>1246</v>
      </c>
      <c r="H13"/>
      <c r="I13"/>
      <c r="J13"/>
      <c r="K13"/>
      <c r="L13"/>
      <c r="M13"/>
    </row>
    <row r="14" spans="1:18" ht="13" outlineLevel="1" x14ac:dyDescent="0.3">
      <c r="F14" s="51" t="s">
        <v>232</v>
      </c>
      <c r="G14" s="54">
        <v>5812</v>
      </c>
      <c r="H14"/>
      <c r="I14"/>
      <c r="J14"/>
      <c r="K14"/>
      <c r="L14"/>
      <c r="M14"/>
    </row>
    <row r="15" spans="1:18" ht="13" outlineLevel="1" x14ac:dyDescent="0.3">
      <c r="F15" s="51"/>
      <c r="G15" s="55"/>
      <c r="H15"/>
      <c r="I15"/>
      <c r="J15"/>
      <c r="K15"/>
      <c r="L15"/>
      <c r="M15"/>
      <c r="Q15"/>
      <c r="R15"/>
    </row>
    <row r="16" spans="1:18" ht="13" outlineLevel="1" x14ac:dyDescent="0.3">
      <c r="F16"/>
      <c r="G16"/>
      <c r="H16"/>
      <c r="I16"/>
      <c r="J16"/>
      <c r="K16"/>
      <c r="L16"/>
      <c r="M16"/>
      <c r="Q16"/>
      <c r="R16"/>
    </row>
    <row r="17" spans="2:19" ht="13" outlineLevel="1" x14ac:dyDescent="0.3">
      <c r="F17"/>
      <c r="G17"/>
      <c r="H17"/>
      <c r="I17"/>
      <c r="J17"/>
      <c r="K17"/>
      <c r="L17"/>
      <c r="M17"/>
      <c r="Q17"/>
      <c r="R17"/>
    </row>
    <row r="18" spans="2:19" ht="13" outlineLevel="1" x14ac:dyDescent="0.3">
      <c r="F18"/>
      <c r="G18"/>
      <c r="H18"/>
      <c r="I18"/>
      <c r="J18"/>
      <c r="K18"/>
      <c r="L18"/>
      <c r="M18"/>
      <c r="Q18"/>
      <c r="R18"/>
    </row>
    <row r="19" spans="2:19" ht="13" outlineLevel="1" x14ac:dyDescent="0.3">
      <c r="F19"/>
      <c r="G19"/>
      <c r="H19"/>
      <c r="I19"/>
      <c r="J19"/>
      <c r="K19"/>
      <c r="L19"/>
      <c r="M19"/>
      <c r="Q19"/>
      <c r="R19"/>
    </row>
    <row r="20" spans="2:19" ht="13" outlineLevel="1" x14ac:dyDescent="0.3">
      <c r="K20"/>
      <c r="L20"/>
      <c r="M20"/>
      <c r="Q20"/>
      <c r="R20"/>
    </row>
    <row r="21" spans="2:19" ht="13" outlineLevel="1" x14ac:dyDescent="0.3">
      <c r="K21"/>
      <c r="L21"/>
      <c r="M21"/>
      <c r="Q21"/>
      <c r="R21"/>
    </row>
    <row r="22" spans="2:19" ht="13" outlineLevel="1" x14ac:dyDescent="0.3">
      <c r="K22"/>
      <c r="L22"/>
      <c r="M22"/>
      <c r="Q22"/>
      <c r="R22"/>
    </row>
    <row r="23" spans="2:19" ht="13" outlineLevel="1" x14ac:dyDescent="0.3">
      <c r="K23"/>
      <c r="L23"/>
      <c r="M23"/>
      <c r="Q23"/>
      <c r="R23"/>
    </row>
    <row r="24" spans="2:19" ht="18.5" x14ac:dyDescent="0.45">
      <c r="B24" s="5" t="s">
        <v>305</v>
      </c>
      <c r="Q24"/>
      <c r="R24"/>
    </row>
    <row r="25" spans="2:19" ht="13" outlineLevel="1" x14ac:dyDescent="0.3">
      <c r="F25" s="64" t="s">
        <v>298</v>
      </c>
      <c r="Q25"/>
      <c r="R25"/>
    </row>
    <row r="26" spans="2:19" ht="13" outlineLevel="1" x14ac:dyDescent="0.3">
      <c r="F26" s="66"/>
      <c r="H26"/>
      <c r="I26"/>
      <c r="Q26"/>
      <c r="R26"/>
    </row>
    <row r="27" spans="2:19" ht="13" outlineLevel="1" x14ac:dyDescent="0.3">
      <c r="F27" s="68"/>
      <c r="H27"/>
      <c r="I27"/>
      <c r="Q27"/>
      <c r="R27"/>
    </row>
    <row r="28" spans="2:19" ht="13" outlineLevel="1" x14ac:dyDescent="0.3">
      <c r="H28"/>
      <c r="I28"/>
      <c r="S28"/>
    </row>
    <row r="29" spans="2:19" ht="13" outlineLevel="1" x14ac:dyDescent="0.3">
      <c r="F29" s="50" t="s">
        <v>250</v>
      </c>
      <c r="G29" t="s">
        <v>246</v>
      </c>
      <c r="H29"/>
      <c r="I29"/>
      <c r="S29"/>
    </row>
    <row r="30" spans="2:19" ht="13" outlineLevel="1" x14ac:dyDescent="0.3">
      <c r="F30" s="51" t="s">
        <v>239</v>
      </c>
      <c r="G30" s="54">
        <v>1246</v>
      </c>
      <c r="H30"/>
      <c r="I30"/>
      <c r="S30"/>
    </row>
    <row r="31" spans="2:19" ht="13" outlineLevel="1" x14ac:dyDescent="0.3">
      <c r="F31" s="51" t="s">
        <v>236</v>
      </c>
      <c r="G31" s="54">
        <v>746</v>
      </c>
      <c r="H31"/>
      <c r="I31"/>
      <c r="S31"/>
    </row>
    <row r="32" spans="2:19" ht="13" outlineLevel="1" x14ac:dyDescent="0.3">
      <c r="F32" s="51" t="s">
        <v>232</v>
      </c>
      <c r="G32" s="54">
        <v>1992</v>
      </c>
      <c r="H32"/>
      <c r="I32"/>
      <c r="S32"/>
    </row>
    <row r="33" spans="2:19" ht="13" outlineLevel="1" x14ac:dyDescent="0.3">
      <c r="H33"/>
      <c r="I33"/>
      <c r="Q33"/>
      <c r="R33"/>
      <c r="S33"/>
    </row>
    <row r="34" spans="2:19" ht="13" outlineLevel="1" x14ac:dyDescent="0.3">
      <c r="H34" s="65"/>
      <c r="I34" s="65"/>
      <c r="J34" s="65"/>
      <c r="K34" s="65"/>
      <c r="L34" s="65"/>
      <c r="M34" s="65"/>
      <c r="N34" s="65"/>
      <c r="O34" s="65"/>
      <c r="Q34"/>
      <c r="R34"/>
      <c r="S34"/>
    </row>
    <row r="35" spans="2:19" ht="13" outlineLevel="1" x14ac:dyDescent="0.3">
      <c r="F35" s="67"/>
      <c r="G35" s="67"/>
      <c r="H35" s="67"/>
      <c r="I35" s="67"/>
      <c r="J35" s="67"/>
      <c r="K35" s="67"/>
      <c r="L35" s="67"/>
      <c r="M35" s="67"/>
      <c r="N35" s="67"/>
      <c r="O35" s="67"/>
      <c r="Q35"/>
      <c r="R35"/>
      <c r="S35"/>
    </row>
    <row r="36" spans="2:19" ht="13" outlineLevel="1" x14ac:dyDescent="0.3">
      <c r="Q36"/>
      <c r="R36"/>
    </row>
    <row r="37" spans="2:19" ht="13" outlineLevel="1" x14ac:dyDescent="0.3">
      <c r="Q37"/>
      <c r="R37"/>
    </row>
    <row r="38" spans="2:19" ht="13" outlineLevel="1" x14ac:dyDescent="0.3">
      <c r="Q38"/>
      <c r="R38"/>
    </row>
    <row r="39" spans="2:19" ht="13" outlineLevel="1" x14ac:dyDescent="0.3">
      <c r="Q39"/>
      <c r="R39"/>
    </row>
    <row r="40" spans="2:19" ht="18.5" x14ac:dyDescent="0.45">
      <c r="B40" s="5" t="s">
        <v>299</v>
      </c>
      <c r="Q40"/>
      <c r="R40"/>
    </row>
    <row r="41" spans="2:19" ht="13" outlineLevel="1" x14ac:dyDescent="0.3">
      <c r="F41" s="46" t="s">
        <v>300</v>
      </c>
      <c r="G41"/>
      <c r="Q41"/>
      <c r="R41"/>
    </row>
    <row r="42" spans="2:19" ht="13" outlineLevel="1" x14ac:dyDescent="0.3">
      <c r="B42"/>
      <c r="C42"/>
      <c r="D42"/>
      <c r="E42"/>
      <c r="F42" s="50" t="s">
        <v>8</v>
      </c>
      <c r="G42" t="s">
        <v>234</v>
      </c>
      <c r="M42"/>
      <c r="N42"/>
      <c r="Q42"/>
      <c r="R42"/>
    </row>
    <row r="43" spans="2:19" ht="13" outlineLevel="1" x14ac:dyDescent="0.3">
      <c r="B43"/>
      <c r="C43"/>
      <c r="D43"/>
      <c r="E43"/>
      <c r="F43" s="51" t="s">
        <v>21</v>
      </c>
      <c r="G43" s="52">
        <v>2856.5</v>
      </c>
      <c r="M43"/>
      <c r="N43"/>
      <c r="Q43"/>
      <c r="R43"/>
    </row>
    <row r="44" spans="2:19" ht="13" outlineLevel="1" x14ac:dyDescent="0.3">
      <c r="B44"/>
      <c r="C44"/>
      <c r="D44"/>
      <c r="E44"/>
      <c r="F44" s="51" t="s">
        <v>27</v>
      </c>
      <c r="G44" s="52">
        <v>2845.59</v>
      </c>
      <c r="M44"/>
      <c r="N44"/>
      <c r="Q44"/>
      <c r="R44"/>
    </row>
    <row r="45" spans="2:19" ht="13" outlineLevel="1" x14ac:dyDescent="0.3">
      <c r="B45"/>
      <c r="C45"/>
      <c r="D45"/>
      <c r="E45"/>
      <c r="F45" s="51" t="s">
        <v>35</v>
      </c>
      <c r="G45" s="52">
        <v>2628.2699999999995</v>
      </c>
      <c r="H45"/>
      <c r="I45"/>
      <c r="J45"/>
      <c r="K45"/>
      <c r="L45"/>
      <c r="M45"/>
      <c r="N45"/>
      <c r="Q45"/>
      <c r="R45"/>
    </row>
    <row r="46" spans="2:19" ht="13" outlineLevel="1" x14ac:dyDescent="0.3">
      <c r="B46"/>
      <c r="C46"/>
      <c r="D46"/>
      <c r="E46"/>
      <c r="F46" s="51" t="s">
        <v>24</v>
      </c>
      <c r="G46" s="52">
        <v>2552</v>
      </c>
      <c r="H46"/>
      <c r="I46"/>
      <c r="J46"/>
      <c r="K46"/>
      <c r="L46"/>
      <c r="M46"/>
      <c r="N46"/>
      <c r="Q46"/>
      <c r="R46"/>
    </row>
    <row r="47" spans="2:19" ht="13" outlineLevel="1" x14ac:dyDescent="0.3">
      <c r="B47"/>
      <c r="C47"/>
      <c r="D47"/>
      <c r="E47"/>
      <c r="F47" s="51" t="s">
        <v>29</v>
      </c>
      <c r="G47" s="52">
        <v>2407</v>
      </c>
      <c r="H47"/>
      <c r="I47"/>
      <c r="J47"/>
      <c r="K47"/>
      <c r="L47"/>
      <c r="M47"/>
      <c r="N47"/>
      <c r="Q47"/>
      <c r="R47"/>
    </row>
    <row r="48" spans="2:19" ht="13" outlineLevel="1" x14ac:dyDescent="0.3">
      <c r="B48"/>
      <c r="C48"/>
      <c r="D48"/>
      <c r="E48"/>
      <c r="F48" s="51" t="s">
        <v>31</v>
      </c>
      <c r="G48" s="52">
        <v>2276.5</v>
      </c>
      <c r="H48"/>
      <c r="I48"/>
      <c r="J48"/>
      <c r="K48"/>
      <c r="L48"/>
      <c r="M48"/>
      <c r="N48"/>
      <c r="Q48"/>
      <c r="R48"/>
    </row>
    <row r="49" spans="2:19" ht="13" outlineLevel="1" x14ac:dyDescent="0.3">
      <c r="B49"/>
      <c r="C49"/>
      <c r="D49"/>
      <c r="E49"/>
      <c r="F49" s="51" t="s">
        <v>80</v>
      </c>
      <c r="G49" s="52">
        <v>2106.0500000000002</v>
      </c>
      <c r="H49"/>
      <c r="I49"/>
      <c r="J49"/>
      <c r="K49"/>
      <c r="L49"/>
      <c r="M49"/>
      <c r="N49"/>
      <c r="Q49"/>
      <c r="R49"/>
    </row>
    <row r="50" spans="2:19" ht="13" outlineLevel="1" x14ac:dyDescent="0.3">
      <c r="B50"/>
      <c r="C50"/>
      <c r="D50"/>
      <c r="E50"/>
      <c r="F50" s="51" t="s">
        <v>33</v>
      </c>
      <c r="G50" s="52">
        <v>2059</v>
      </c>
      <c r="H50"/>
      <c r="I50"/>
      <c r="J50"/>
      <c r="K50"/>
      <c r="L50"/>
      <c r="M50"/>
      <c r="N50"/>
      <c r="Q50"/>
      <c r="R50"/>
    </row>
    <row r="51" spans="2:19" ht="13" outlineLevel="1" x14ac:dyDescent="0.3">
      <c r="B51"/>
      <c r="C51"/>
      <c r="D51"/>
      <c r="E51"/>
      <c r="F51" s="51" t="s">
        <v>232</v>
      </c>
      <c r="G51" s="52">
        <v>19730.91</v>
      </c>
      <c r="H51"/>
      <c r="I51"/>
      <c r="J51"/>
      <c r="K51"/>
      <c r="L51"/>
      <c r="M51"/>
      <c r="N51"/>
      <c r="Q51"/>
      <c r="R51"/>
    </row>
    <row r="52" spans="2:19" ht="13" outlineLevel="1" x14ac:dyDescent="0.3">
      <c r="B52"/>
      <c r="C52"/>
      <c r="D52"/>
      <c r="E52"/>
      <c r="F52"/>
      <c r="G52"/>
      <c r="H52"/>
      <c r="I52"/>
      <c r="J52"/>
      <c r="K52"/>
      <c r="L52"/>
      <c r="M52"/>
      <c r="N52"/>
      <c r="Q52"/>
      <c r="R52"/>
    </row>
    <row r="53" spans="2:19" ht="13" outlineLevel="1" x14ac:dyDescent="0.3">
      <c r="B53"/>
      <c r="C53"/>
      <c r="D53"/>
      <c r="E53"/>
      <c r="F53"/>
      <c r="G53"/>
      <c r="H53"/>
      <c r="I53"/>
      <c r="J53"/>
      <c r="K53"/>
      <c r="L53"/>
      <c r="M53"/>
      <c r="N53"/>
    </row>
    <row r="54" spans="2:19" ht="13" outlineLevel="1" x14ac:dyDescent="0.3">
      <c r="B54"/>
      <c r="C54"/>
      <c r="D54"/>
      <c r="E54"/>
      <c r="F54"/>
      <c r="G54"/>
      <c r="H54"/>
      <c r="I54"/>
      <c r="J54"/>
      <c r="K54"/>
      <c r="L54"/>
      <c r="M54"/>
      <c r="N54"/>
    </row>
    <row r="55" spans="2:19" ht="18.5" x14ac:dyDescent="0.45">
      <c r="B55" s="5" t="s">
        <v>301</v>
      </c>
      <c r="F55"/>
      <c r="G55"/>
      <c r="H55"/>
      <c r="I55"/>
      <c r="J55"/>
      <c r="K55"/>
      <c r="L55"/>
      <c r="M55"/>
      <c r="N55"/>
      <c r="S55"/>
    </row>
    <row r="56" spans="2:19" ht="13" outlineLevel="1" x14ac:dyDescent="0.3">
      <c r="B56"/>
      <c r="C56"/>
      <c r="D56"/>
      <c r="E56"/>
      <c r="F56" s="46" t="s">
        <v>302</v>
      </c>
      <c r="G56"/>
      <c r="H56"/>
      <c r="I56"/>
      <c r="J56"/>
      <c r="K56"/>
      <c r="L56"/>
      <c r="M56"/>
      <c r="N56"/>
      <c r="S56"/>
    </row>
    <row r="57" spans="2:19" ht="13" outlineLevel="1" x14ac:dyDescent="0.3">
      <c r="B57"/>
      <c r="C57"/>
      <c r="D57"/>
      <c r="E57"/>
      <c r="F57"/>
      <c r="G57" t="s">
        <v>5</v>
      </c>
      <c r="H57"/>
      <c r="I57"/>
      <c r="J57"/>
      <c r="K57"/>
      <c r="L57"/>
      <c r="M57"/>
      <c r="N57"/>
      <c r="Q57"/>
      <c r="R57"/>
      <c r="S57"/>
    </row>
    <row r="58" spans="2:19" ht="13" outlineLevel="1" x14ac:dyDescent="0.3">
      <c r="B58"/>
      <c r="C58"/>
      <c r="D58"/>
      <c r="E58"/>
      <c r="F58" s="74" t="s">
        <v>27</v>
      </c>
      <c r="G58" s="74">
        <f>GETPIVOTDATA("Revenue",$F$42,"Country","Canada")</f>
        <v>2845.59</v>
      </c>
      <c r="H58"/>
      <c r="I58"/>
      <c r="J58"/>
      <c r="K58"/>
      <c r="L58"/>
      <c r="M58"/>
      <c r="N58"/>
      <c r="Q58"/>
      <c r="R58"/>
      <c r="S58"/>
    </row>
    <row r="59" spans="2:19" ht="13" outlineLevel="1" x14ac:dyDescent="0.3">
      <c r="B59"/>
      <c r="C59"/>
      <c r="D59"/>
      <c r="E59"/>
      <c r="F59" s="74" t="s">
        <v>31</v>
      </c>
      <c r="G59" s="74">
        <f>GETPIVOTDATA("Revenue",$F$42,"Country","Finland")</f>
        <v>2276.5</v>
      </c>
      <c r="H59"/>
      <c r="I59"/>
      <c r="J59"/>
      <c r="K59"/>
      <c r="L59"/>
      <c r="M59"/>
      <c r="N59"/>
      <c r="Q59"/>
      <c r="R59"/>
      <c r="S59"/>
    </row>
    <row r="60" spans="2:19" ht="13" outlineLevel="1" x14ac:dyDescent="0.3">
      <c r="B60"/>
      <c r="F60"/>
      <c r="G60"/>
      <c r="K60"/>
      <c r="L60"/>
      <c r="M60"/>
      <c r="N60"/>
      <c r="Q60"/>
      <c r="R60"/>
      <c r="S60"/>
    </row>
    <row r="61" spans="2:19" ht="13" outlineLevel="1" x14ac:dyDescent="0.3">
      <c r="B61"/>
      <c r="F61"/>
      <c r="G61"/>
      <c r="H61"/>
      <c r="I61"/>
      <c r="J61"/>
      <c r="K61"/>
      <c r="L61"/>
      <c r="M61"/>
      <c r="N61"/>
      <c r="Q61"/>
      <c r="R61"/>
      <c r="S61"/>
    </row>
    <row r="62" spans="2:19" ht="18.5" x14ac:dyDescent="0.45">
      <c r="B62" s="5" t="s">
        <v>303</v>
      </c>
      <c r="F62"/>
      <c r="G62"/>
      <c r="H62"/>
      <c r="I62"/>
      <c r="K62"/>
      <c r="L62"/>
      <c r="M62"/>
      <c r="N62"/>
      <c r="Q62"/>
      <c r="R62"/>
      <c r="S62"/>
    </row>
    <row r="63" spans="2:19" ht="13" outlineLevel="1" x14ac:dyDescent="0.3">
      <c r="B63"/>
      <c r="C63"/>
      <c r="D63"/>
      <c r="E63"/>
      <c r="F63" s="46" t="s">
        <v>304</v>
      </c>
      <c r="G63"/>
      <c r="H63"/>
      <c r="I63"/>
      <c r="K63"/>
      <c r="L63"/>
      <c r="M63"/>
      <c r="N63"/>
      <c r="Q63"/>
      <c r="R63"/>
      <c r="S63"/>
    </row>
    <row r="64" spans="2:19" ht="13" outlineLevel="1" x14ac:dyDescent="0.3">
      <c r="B64"/>
      <c r="C64"/>
      <c r="D64"/>
      <c r="E64"/>
      <c r="F64"/>
      <c r="G64" t="s">
        <v>5</v>
      </c>
      <c r="H64"/>
      <c r="I64"/>
      <c r="J64"/>
      <c r="K64"/>
      <c r="L64"/>
      <c r="M64"/>
      <c r="N64"/>
      <c r="Q64"/>
      <c r="R64"/>
      <c r="S64"/>
    </row>
    <row r="65" spans="2:19" ht="13" outlineLevel="1" x14ac:dyDescent="0.3">
      <c r="B65"/>
      <c r="C65"/>
      <c r="D65"/>
      <c r="E65"/>
      <c r="F65" s="74" t="s">
        <v>27</v>
      </c>
      <c r="G65" s="74">
        <f>GETPIVOTDATA("Revenue",$F$42,"Country","Canada")</f>
        <v>2845.59</v>
      </c>
      <c r="H65"/>
      <c r="I65"/>
      <c r="J65"/>
      <c r="K65"/>
      <c r="L65"/>
      <c r="M65"/>
      <c r="N65"/>
      <c r="Q65"/>
      <c r="R65"/>
      <c r="S65"/>
    </row>
    <row r="66" spans="2:19" ht="13" outlineLevel="1" x14ac:dyDescent="0.3">
      <c r="B66"/>
      <c r="C66"/>
      <c r="D66"/>
      <c r="E66"/>
      <c r="F66" s="74" t="s">
        <v>29</v>
      </c>
      <c r="G66" s="74">
        <f>GETPIVOTDATA("Revenue",$F$42,"Country","Mongolia")</f>
        <v>2407</v>
      </c>
      <c r="H66"/>
      <c r="I66"/>
      <c r="J66"/>
      <c r="K66"/>
      <c r="L66"/>
      <c r="M66"/>
      <c r="N66"/>
      <c r="Q66"/>
      <c r="R66"/>
      <c r="S66"/>
    </row>
    <row r="67" spans="2:19" ht="13" outlineLevel="1" x14ac:dyDescent="0.3">
      <c r="B67"/>
      <c r="F67"/>
      <c r="G67"/>
      <c r="J67"/>
      <c r="K67"/>
      <c r="L67"/>
      <c r="M67"/>
      <c r="N67"/>
      <c r="Q67"/>
      <c r="R67"/>
      <c r="S67"/>
    </row>
    <row r="68" spans="2:19" ht="13" x14ac:dyDescent="0.3">
      <c r="B68"/>
      <c r="C68"/>
      <c r="D68"/>
      <c r="E68"/>
      <c r="F68"/>
      <c r="G68"/>
      <c r="H68"/>
      <c r="I68"/>
      <c r="J68"/>
      <c r="K68"/>
      <c r="L68"/>
      <c r="M68"/>
      <c r="N68"/>
      <c r="Q68"/>
      <c r="R68"/>
      <c r="S68"/>
    </row>
    <row r="69" spans="2:19" ht="13" x14ac:dyDescent="0.3">
      <c r="B69"/>
      <c r="C69"/>
      <c r="D69"/>
      <c r="E69"/>
      <c r="F69"/>
      <c r="G69"/>
      <c r="H69"/>
      <c r="I69"/>
      <c r="J69"/>
      <c r="K69"/>
      <c r="L69"/>
      <c r="M69"/>
      <c r="N69"/>
      <c r="Q69"/>
      <c r="R69"/>
      <c r="S69"/>
    </row>
    <row r="70" spans="2:19" ht="13" x14ac:dyDescent="0.3">
      <c r="B70"/>
      <c r="C70"/>
      <c r="D70"/>
      <c r="E70"/>
      <c r="F70"/>
      <c r="G70"/>
      <c r="H70"/>
      <c r="I70"/>
      <c r="J70"/>
      <c r="K70"/>
      <c r="L70"/>
      <c r="M70"/>
      <c r="N70"/>
      <c r="Q70"/>
      <c r="R70"/>
      <c r="S70"/>
    </row>
    <row r="71" spans="2:19" ht="13" x14ac:dyDescent="0.3">
      <c r="B71"/>
      <c r="C71"/>
      <c r="D71"/>
      <c r="E71"/>
      <c r="F71"/>
      <c r="G71"/>
      <c r="H71"/>
      <c r="I71"/>
      <c r="J71"/>
      <c r="K71"/>
      <c r="L71"/>
      <c r="M71"/>
      <c r="N71"/>
      <c r="Q71"/>
      <c r="R71"/>
      <c r="S71"/>
    </row>
    <row r="72" spans="2:19" ht="13" x14ac:dyDescent="0.3">
      <c r="B72"/>
      <c r="C72"/>
      <c r="D72"/>
      <c r="E72"/>
      <c r="F72"/>
      <c r="G72"/>
      <c r="H72"/>
      <c r="I72"/>
      <c r="J72"/>
      <c r="K72"/>
      <c r="L72"/>
      <c r="M72"/>
      <c r="N72"/>
      <c r="Q72"/>
      <c r="R72"/>
      <c r="S72"/>
    </row>
    <row r="73" spans="2:19" ht="13" x14ac:dyDescent="0.3">
      <c r="B73"/>
      <c r="C73"/>
      <c r="D73"/>
      <c r="E73"/>
      <c r="F73"/>
      <c r="G73"/>
      <c r="H73"/>
      <c r="I73"/>
      <c r="J73"/>
      <c r="K73"/>
      <c r="L73"/>
      <c r="M73"/>
      <c r="N73"/>
      <c r="Q73"/>
      <c r="R73"/>
      <c r="S73"/>
    </row>
    <row r="74" spans="2:19" ht="13" x14ac:dyDescent="0.3">
      <c r="B74"/>
      <c r="C74"/>
      <c r="D74"/>
      <c r="E74"/>
      <c r="F74"/>
      <c r="G74"/>
      <c r="H74"/>
      <c r="I74"/>
      <c r="J74"/>
      <c r="K74"/>
      <c r="L74"/>
      <c r="M74"/>
      <c r="N74"/>
      <c r="Q74"/>
      <c r="R74"/>
      <c r="S74"/>
    </row>
    <row r="75" spans="2:19" ht="13" x14ac:dyDescent="0.3">
      <c r="B75"/>
      <c r="C75"/>
      <c r="D75"/>
      <c r="E75"/>
      <c r="F75"/>
      <c r="G75"/>
      <c r="H75"/>
      <c r="I75"/>
      <c r="J75"/>
      <c r="K75"/>
      <c r="L75"/>
      <c r="M75"/>
      <c r="N75"/>
      <c r="Q75"/>
      <c r="R75"/>
      <c r="S75"/>
    </row>
    <row r="76" spans="2:19" ht="13" x14ac:dyDescent="0.3">
      <c r="B76"/>
      <c r="C76"/>
      <c r="D76"/>
      <c r="E76"/>
      <c r="F76"/>
      <c r="G76"/>
      <c r="H76"/>
      <c r="I76"/>
      <c r="J76"/>
      <c r="K76"/>
      <c r="L76"/>
      <c r="M76"/>
      <c r="N76"/>
      <c r="Q76"/>
      <c r="R76"/>
      <c r="S76"/>
    </row>
    <row r="77" spans="2:19" ht="13" x14ac:dyDescent="0.3">
      <c r="B77"/>
      <c r="C77"/>
      <c r="D77"/>
      <c r="E77"/>
      <c r="F77"/>
      <c r="G77"/>
      <c r="H77"/>
      <c r="I77"/>
      <c r="J77"/>
      <c r="K77"/>
      <c r="L77"/>
      <c r="M77"/>
      <c r="N77"/>
      <c r="Q77"/>
      <c r="R77"/>
      <c r="S77"/>
    </row>
    <row r="78" spans="2:19" ht="13" x14ac:dyDescent="0.3">
      <c r="B78"/>
      <c r="C78"/>
      <c r="D78"/>
      <c r="E78"/>
      <c r="F78"/>
      <c r="G78"/>
      <c r="H78"/>
      <c r="I78"/>
      <c r="J78"/>
      <c r="K78"/>
      <c r="L78"/>
      <c r="M78"/>
      <c r="N78"/>
      <c r="Q78"/>
      <c r="R78"/>
      <c r="S78"/>
    </row>
    <row r="79" spans="2:19" ht="13" x14ac:dyDescent="0.3">
      <c r="B79"/>
      <c r="C79"/>
      <c r="D79"/>
      <c r="E79"/>
      <c r="F79"/>
      <c r="G79"/>
      <c r="H79"/>
      <c r="I79"/>
      <c r="J79"/>
      <c r="K79"/>
      <c r="L79"/>
      <c r="M79"/>
      <c r="N79"/>
      <c r="Q79"/>
      <c r="R79"/>
      <c r="S79"/>
    </row>
    <row r="80" spans="2:19" ht="13" x14ac:dyDescent="0.3">
      <c r="B80"/>
      <c r="C80"/>
      <c r="D80"/>
      <c r="E80"/>
      <c r="F80"/>
      <c r="G80"/>
      <c r="H80"/>
      <c r="I80"/>
      <c r="J80"/>
      <c r="K80"/>
      <c r="L80"/>
      <c r="M80"/>
      <c r="N80"/>
      <c r="Q80"/>
      <c r="R80"/>
      <c r="S80"/>
    </row>
    <row r="81" spans="2:19" ht="13" x14ac:dyDescent="0.3">
      <c r="B81"/>
      <c r="C81"/>
      <c r="D81"/>
      <c r="E81"/>
      <c r="F81"/>
      <c r="G81"/>
      <c r="H81"/>
      <c r="I81"/>
      <c r="J81"/>
      <c r="K81"/>
      <c r="L81"/>
      <c r="M81"/>
      <c r="N81"/>
      <c r="Q81"/>
      <c r="R81"/>
      <c r="S81"/>
    </row>
    <row r="82" spans="2:19" ht="13" x14ac:dyDescent="0.3">
      <c r="B82"/>
      <c r="C82"/>
      <c r="D82"/>
      <c r="E82"/>
      <c r="F82"/>
      <c r="G82"/>
      <c r="H82"/>
      <c r="I82"/>
      <c r="J82"/>
      <c r="K82"/>
      <c r="L82"/>
      <c r="M82"/>
      <c r="N82"/>
      <c r="Q82"/>
      <c r="R82"/>
      <c r="S82"/>
    </row>
    <row r="83" spans="2:19" ht="13" x14ac:dyDescent="0.3">
      <c r="B83"/>
      <c r="C83"/>
      <c r="D83"/>
      <c r="E83"/>
      <c r="F83"/>
      <c r="G83"/>
      <c r="H83"/>
      <c r="I83"/>
      <c r="J83"/>
      <c r="K83"/>
      <c r="L83"/>
      <c r="M83"/>
      <c r="N83"/>
      <c r="Q83"/>
      <c r="R83"/>
      <c r="S83"/>
    </row>
    <row r="84" spans="2:19" ht="13" x14ac:dyDescent="0.3">
      <c r="B84"/>
      <c r="C84"/>
      <c r="D84"/>
      <c r="E84"/>
      <c r="F84"/>
      <c r="G84"/>
      <c r="H84"/>
      <c r="I84"/>
      <c r="J84"/>
      <c r="K84"/>
      <c r="L84"/>
      <c r="M84"/>
      <c r="N84"/>
      <c r="Q84"/>
      <c r="R84"/>
      <c r="S84"/>
    </row>
    <row r="85" spans="2:19" ht="13" x14ac:dyDescent="0.3">
      <c r="B85"/>
      <c r="C85"/>
      <c r="D85"/>
      <c r="E85"/>
      <c r="F85"/>
      <c r="G85"/>
      <c r="H85"/>
      <c r="I85"/>
      <c r="J85"/>
      <c r="K85"/>
      <c r="L85"/>
      <c r="M85"/>
      <c r="N85"/>
      <c r="Q85"/>
      <c r="R85"/>
      <c r="S85"/>
    </row>
    <row r="86" spans="2:19" ht="13" x14ac:dyDescent="0.3">
      <c r="B86"/>
      <c r="C86"/>
      <c r="D86"/>
      <c r="E86"/>
      <c r="F86"/>
      <c r="G86"/>
      <c r="H86"/>
      <c r="I86"/>
      <c r="J86"/>
      <c r="K86"/>
      <c r="L86"/>
      <c r="M86"/>
      <c r="N86"/>
      <c r="Q86"/>
      <c r="R86"/>
      <c r="S86"/>
    </row>
    <row r="87" spans="2:19" ht="13" x14ac:dyDescent="0.3">
      <c r="B87"/>
      <c r="C87"/>
      <c r="D87"/>
      <c r="E87"/>
      <c r="F87"/>
      <c r="G87"/>
      <c r="H87"/>
      <c r="I87"/>
      <c r="J87"/>
      <c r="K87"/>
      <c r="L87"/>
      <c r="M87"/>
      <c r="N87"/>
      <c r="Q87"/>
      <c r="R87"/>
      <c r="S87"/>
    </row>
    <row r="88" spans="2:19" ht="13" x14ac:dyDescent="0.3">
      <c r="B88"/>
      <c r="C88"/>
      <c r="D88"/>
      <c r="E88"/>
      <c r="F88"/>
      <c r="G88"/>
      <c r="H88"/>
      <c r="I88"/>
      <c r="J88"/>
      <c r="K88"/>
      <c r="L88"/>
      <c r="M88"/>
      <c r="N88"/>
      <c r="Q88"/>
      <c r="R88"/>
      <c r="S88"/>
    </row>
    <row r="89" spans="2:19" ht="13" x14ac:dyDescent="0.3">
      <c r="B89"/>
      <c r="C89"/>
      <c r="D89"/>
      <c r="E89"/>
      <c r="F89"/>
      <c r="G89"/>
      <c r="H89"/>
      <c r="I89"/>
      <c r="J89"/>
      <c r="K89"/>
      <c r="L89"/>
      <c r="M89"/>
      <c r="N89"/>
      <c r="Q89"/>
      <c r="R89"/>
      <c r="S89"/>
    </row>
    <row r="90" spans="2:19" ht="13" x14ac:dyDescent="0.3">
      <c r="B90"/>
      <c r="C90"/>
      <c r="D90"/>
      <c r="E90"/>
      <c r="F90"/>
      <c r="G90"/>
      <c r="H90"/>
      <c r="I90"/>
      <c r="J90"/>
      <c r="K90"/>
      <c r="L90"/>
      <c r="M90"/>
      <c r="N90"/>
      <c r="Q90"/>
      <c r="R90"/>
      <c r="S90"/>
    </row>
    <row r="91" spans="2:19" ht="13" x14ac:dyDescent="0.3">
      <c r="B91"/>
      <c r="C91"/>
      <c r="D91"/>
      <c r="E91"/>
      <c r="F91"/>
      <c r="G91"/>
      <c r="H91"/>
      <c r="I91"/>
      <c r="J91"/>
      <c r="K91"/>
      <c r="L91"/>
      <c r="M91"/>
      <c r="N91"/>
      <c r="Q91"/>
      <c r="R91"/>
      <c r="S91"/>
    </row>
    <row r="92" spans="2:19" ht="13" x14ac:dyDescent="0.3">
      <c r="B92"/>
      <c r="C92"/>
      <c r="D92"/>
      <c r="E92"/>
      <c r="F92"/>
      <c r="G92"/>
      <c r="H92"/>
      <c r="I92"/>
      <c r="J92"/>
      <c r="K92"/>
      <c r="L92"/>
      <c r="M92"/>
      <c r="N92"/>
      <c r="Q92"/>
      <c r="R92"/>
      <c r="S92"/>
    </row>
    <row r="93" spans="2:19" ht="13" x14ac:dyDescent="0.3">
      <c r="B93"/>
      <c r="C93"/>
      <c r="D93"/>
      <c r="E93"/>
      <c r="F93"/>
      <c r="G93"/>
      <c r="H93"/>
      <c r="I93"/>
      <c r="J93"/>
      <c r="K93"/>
      <c r="L93"/>
      <c r="M93"/>
      <c r="N93"/>
      <c r="Q93"/>
      <c r="R93"/>
      <c r="S93"/>
    </row>
    <row r="94" spans="2:19" ht="13" x14ac:dyDescent="0.3">
      <c r="B94"/>
      <c r="C94"/>
      <c r="D94"/>
      <c r="E94"/>
      <c r="F94"/>
      <c r="G94"/>
      <c r="H94"/>
      <c r="I94"/>
      <c r="J94"/>
      <c r="K94"/>
      <c r="L94"/>
      <c r="M94"/>
      <c r="N94"/>
      <c r="Q94"/>
      <c r="R94"/>
      <c r="S94"/>
    </row>
    <row r="95" spans="2:19" ht="13" x14ac:dyDescent="0.3">
      <c r="B95"/>
      <c r="C95"/>
      <c r="D95"/>
      <c r="E95"/>
      <c r="F95"/>
      <c r="G95"/>
      <c r="H95"/>
      <c r="I95"/>
      <c r="J95"/>
      <c r="K95"/>
      <c r="L95"/>
      <c r="M95"/>
      <c r="N95"/>
      <c r="Q95"/>
      <c r="R95"/>
      <c r="S95"/>
    </row>
    <row r="96" spans="2:19" ht="13" x14ac:dyDescent="0.3">
      <c r="B96"/>
      <c r="C96"/>
      <c r="D96"/>
      <c r="E96"/>
      <c r="F96"/>
      <c r="G96"/>
      <c r="H96"/>
      <c r="I96"/>
      <c r="J96"/>
      <c r="K96"/>
      <c r="L96"/>
      <c r="M96"/>
      <c r="N96"/>
      <c r="Q96"/>
      <c r="R96"/>
      <c r="S96"/>
    </row>
    <row r="97" spans="2:19" ht="13" x14ac:dyDescent="0.3">
      <c r="B97"/>
      <c r="C97"/>
      <c r="D97"/>
      <c r="E97"/>
      <c r="F97"/>
      <c r="G97"/>
      <c r="H97"/>
      <c r="I97"/>
      <c r="J97"/>
      <c r="K97"/>
      <c r="L97"/>
      <c r="M97"/>
      <c r="N97"/>
      <c r="Q97"/>
      <c r="R97"/>
      <c r="S97"/>
    </row>
    <row r="98" spans="2:19" ht="13" x14ac:dyDescent="0.3">
      <c r="B98"/>
      <c r="C98"/>
      <c r="D98"/>
      <c r="E98"/>
      <c r="F98"/>
      <c r="G98"/>
      <c r="H98"/>
      <c r="I98"/>
      <c r="J98"/>
      <c r="K98"/>
      <c r="L98"/>
      <c r="M98"/>
      <c r="N98"/>
      <c r="Q98"/>
      <c r="R98"/>
      <c r="S98"/>
    </row>
    <row r="99" spans="2:19" ht="13" x14ac:dyDescent="0.3">
      <c r="B99"/>
      <c r="C99"/>
      <c r="D99"/>
      <c r="E99"/>
      <c r="F99"/>
      <c r="G99"/>
      <c r="H99"/>
      <c r="I99"/>
      <c r="J99"/>
      <c r="K99"/>
      <c r="L99"/>
      <c r="M99"/>
      <c r="N99"/>
      <c r="Q99"/>
      <c r="R99"/>
      <c r="S99"/>
    </row>
    <row r="100" spans="2:19" ht="13" x14ac:dyDescent="0.3">
      <c r="B100"/>
      <c r="C100"/>
      <c r="D100"/>
      <c r="E100"/>
      <c r="F100"/>
      <c r="G100"/>
      <c r="H100"/>
      <c r="I100"/>
      <c r="J100"/>
      <c r="K100"/>
      <c r="L100"/>
      <c r="M100"/>
      <c r="N100"/>
      <c r="Q100"/>
      <c r="R100"/>
      <c r="S100"/>
    </row>
    <row r="101" spans="2:19" ht="13" x14ac:dyDescent="0.3">
      <c r="B101"/>
      <c r="C101"/>
      <c r="D101"/>
      <c r="E101"/>
      <c r="F101"/>
      <c r="G101"/>
      <c r="H101"/>
      <c r="I101"/>
      <c r="J101"/>
      <c r="K101"/>
      <c r="L101"/>
      <c r="M101"/>
      <c r="N101"/>
      <c r="Q101"/>
      <c r="R101"/>
      <c r="S101"/>
    </row>
    <row r="102" spans="2:19" ht="13" x14ac:dyDescent="0.3">
      <c r="B102"/>
      <c r="C102"/>
      <c r="D102"/>
      <c r="E102"/>
      <c r="F102"/>
      <c r="G102"/>
      <c r="H102"/>
      <c r="I102"/>
      <c r="J102"/>
      <c r="K102"/>
      <c r="L102"/>
      <c r="M102"/>
      <c r="N102"/>
      <c r="Q102"/>
      <c r="R102"/>
      <c r="S102"/>
    </row>
    <row r="103" spans="2:19" ht="13" x14ac:dyDescent="0.3">
      <c r="B103"/>
      <c r="C103"/>
      <c r="D103"/>
      <c r="E103"/>
      <c r="F103"/>
      <c r="G103"/>
      <c r="H103"/>
      <c r="I103"/>
      <c r="J103"/>
      <c r="K103"/>
      <c r="L103"/>
      <c r="M103"/>
      <c r="N103"/>
      <c r="Q103"/>
      <c r="R103"/>
      <c r="S103"/>
    </row>
    <row r="104" spans="2:19" ht="13" x14ac:dyDescent="0.3">
      <c r="B104"/>
      <c r="C104"/>
      <c r="D104"/>
      <c r="E104"/>
      <c r="F104"/>
      <c r="G104"/>
      <c r="H104"/>
      <c r="I104"/>
      <c r="J104"/>
      <c r="K104"/>
      <c r="L104"/>
      <c r="M104"/>
      <c r="N104"/>
      <c r="Q104"/>
      <c r="R104"/>
      <c r="S104"/>
    </row>
    <row r="105" spans="2:19" ht="13" x14ac:dyDescent="0.3">
      <c r="B105"/>
      <c r="C105"/>
      <c r="D105"/>
      <c r="E105"/>
      <c r="F105"/>
      <c r="G105"/>
      <c r="H105"/>
      <c r="I105"/>
      <c r="J105"/>
      <c r="K105"/>
      <c r="L105"/>
      <c r="M105"/>
      <c r="N105"/>
      <c r="Q105"/>
      <c r="R105"/>
      <c r="S105"/>
    </row>
    <row r="106" spans="2:19" ht="13" x14ac:dyDescent="0.3">
      <c r="B106"/>
      <c r="C106"/>
      <c r="D106"/>
      <c r="E106"/>
      <c r="F106"/>
      <c r="G106"/>
      <c r="H106"/>
      <c r="I106"/>
      <c r="J106"/>
      <c r="K106"/>
      <c r="L106"/>
      <c r="M106"/>
      <c r="N106"/>
      <c r="Q106"/>
      <c r="R106"/>
      <c r="S106"/>
    </row>
    <row r="107" spans="2:19" ht="13" x14ac:dyDescent="0.3">
      <c r="B107"/>
      <c r="C107"/>
      <c r="D107"/>
      <c r="E107"/>
      <c r="F107"/>
      <c r="G107"/>
      <c r="H107"/>
      <c r="I107"/>
      <c r="J107"/>
      <c r="K107"/>
      <c r="L107"/>
      <c r="M107"/>
      <c r="N107"/>
      <c r="Q107"/>
      <c r="R107"/>
      <c r="S107"/>
    </row>
    <row r="108" spans="2:19" ht="13" x14ac:dyDescent="0.3">
      <c r="B108"/>
      <c r="C108"/>
      <c r="D108"/>
      <c r="E108"/>
      <c r="F108"/>
      <c r="G108"/>
      <c r="H108"/>
      <c r="I108"/>
      <c r="J108"/>
      <c r="K108"/>
      <c r="L108"/>
      <c r="M108"/>
      <c r="N108"/>
      <c r="Q108"/>
      <c r="R108"/>
      <c r="S108"/>
    </row>
    <row r="109" spans="2:19" ht="13" x14ac:dyDescent="0.3">
      <c r="B109"/>
      <c r="C109"/>
      <c r="D109"/>
      <c r="E109"/>
      <c r="F109"/>
      <c r="G109"/>
      <c r="H109"/>
      <c r="I109"/>
      <c r="J109"/>
      <c r="K109"/>
      <c r="L109"/>
      <c r="M109"/>
      <c r="N109"/>
      <c r="Q109"/>
      <c r="R109"/>
      <c r="S109"/>
    </row>
    <row r="110" spans="2:19" ht="13" x14ac:dyDescent="0.3">
      <c r="B110"/>
      <c r="C110"/>
      <c r="D110"/>
      <c r="E110"/>
      <c r="F110"/>
      <c r="G110"/>
      <c r="H110"/>
      <c r="I110"/>
      <c r="J110"/>
      <c r="K110"/>
      <c r="L110"/>
      <c r="M110"/>
      <c r="N110"/>
      <c r="Q110"/>
      <c r="R110"/>
      <c r="S110"/>
    </row>
    <row r="111" spans="2:19" ht="13" x14ac:dyDescent="0.3">
      <c r="B111"/>
      <c r="C111"/>
      <c r="D111"/>
      <c r="E111"/>
      <c r="F111"/>
      <c r="G111"/>
      <c r="H111"/>
      <c r="I111"/>
      <c r="J111"/>
      <c r="K111"/>
      <c r="L111"/>
      <c r="M111"/>
      <c r="N111"/>
      <c r="Q111"/>
      <c r="R111"/>
      <c r="S111"/>
    </row>
    <row r="112" spans="2:19" ht="13" x14ac:dyDescent="0.3">
      <c r="F112"/>
      <c r="G112"/>
      <c r="Q112"/>
      <c r="R112"/>
      <c r="S112"/>
    </row>
    <row r="113" spans="6:19" ht="13" x14ac:dyDescent="0.3">
      <c r="F113"/>
      <c r="G113"/>
      <c r="Q113"/>
      <c r="R113"/>
      <c r="S113"/>
    </row>
    <row r="114" spans="6:19" ht="13" x14ac:dyDescent="0.3">
      <c r="F114"/>
      <c r="G114"/>
      <c r="Q114"/>
      <c r="R114"/>
      <c r="S114"/>
    </row>
    <row r="115" spans="6:19" ht="13" x14ac:dyDescent="0.3">
      <c r="F115"/>
      <c r="G115"/>
      <c r="Q115"/>
      <c r="R115"/>
      <c r="S115"/>
    </row>
    <row r="116" spans="6:19" ht="13" x14ac:dyDescent="0.3">
      <c r="F116"/>
      <c r="G116"/>
      <c r="Q116"/>
      <c r="R116"/>
      <c r="S116"/>
    </row>
    <row r="117" spans="6:19" ht="13" x14ac:dyDescent="0.3">
      <c r="F117"/>
      <c r="G117"/>
      <c r="Q117"/>
      <c r="R117"/>
      <c r="S117"/>
    </row>
    <row r="118" spans="6:19" ht="13" x14ac:dyDescent="0.3">
      <c r="F118"/>
      <c r="G118"/>
      <c r="Q118"/>
      <c r="R118"/>
      <c r="S118"/>
    </row>
    <row r="119" spans="6:19" ht="13" x14ac:dyDescent="0.3">
      <c r="F119"/>
      <c r="G119"/>
      <c r="Q119"/>
      <c r="R119"/>
      <c r="S119"/>
    </row>
    <row r="120" spans="6:19" ht="13" x14ac:dyDescent="0.3">
      <c r="F120"/>
      <c r="G120"/>
      <c r="Q120"/>
      <c r="R120"/>
      <c r="S120"/>
    </row>
    <row r="121" spans="6:19" ht="13" x14ac:dyDescent="0.3">
      <c r="F121"/>
      <c r="G121"/>
      <c r="Q121"/>
      <c r="R121"/>
      <c r="S121"/>
    </row>
    <row r="122" spans="6:19" ht="13" x14ac:dyDescent="0.3">
      <c r="F122"/>
      <c r="G122"/>
      <c r="Q122"/>
      <c r="R122"/>
      <c r="S122"/>
    </row>
    <row r="123" spans="6:19" ht="13" x14ac:dyDescent="0.3">
      <c r="F123"/>
      <c r="G123"/>
      <c r="Q123"/>
      <c r="R123"/>
      <c r="S123"/>
    </row>
    <row r="124" spans="6:19" ht="13" x14ac:dyDescent="0.3">
      <c r="F124"/>
      <c r="G124"/>
      <c r="Q124"/>
      <c r="R124"/>
      <c r="S124"/>
    </row>
    <row r="125" spans="6:19" ht="13" x14ac:dyDescent="0.3">
      <c r="F125"/>
      <c r="G125"/>
      <c r="Q125"/>
      <c r="R125"/>
      <c r="S125"/>
    </row>
    <row r="126" spans="6:19" ht="13" x14ac:dyDescent="0.3">
      <c r="F126"/>
      <c r="G126"/>
      <c r="Q126"/>
      <c r="R126"/>
      <c r="S126"/>
    </row>
    <row r="127" spans="6:19" ht="13" x14ac:dyDescent="0.3">
      <c r="F127"/>
      <c r="G127"/>
      <c r="Q127"/>
      <c r="R127"/>
      <c r="S127"/>
    </row>
    <row r="128" spans="6:19" ht="13" x14ac:dyDescent="0.3">
      <c r="F128"/>
      <c r="G128"/>
      <c r="Q128"/>
      <c r="R128"/>
      <c r="S128"/>
    </row>
    <row r="129" spans="6:19" ht="13" x14ac:dyDescent="0.3">
      <c r="F129"/>
      <c r="G129"/>
      <c r="Q129"/>
      <c r="R129"/>
      <c r="S129"/>
    </row>
    <row r="130" spans="6:19" ht="13" x14ac:dyDescent="0.3">
      <c r="F130"/>
      <c r="G130"/>
      <c r="Q130"/>
      <c r="R130"/>
      <c r="S130"/>
    </row>
    <row r="131" spans="6:19" ht="13" x14ac:dyDescent="0.3">
      <c r="Q131"/>
      <c r="R131"/>
      <c r="S131"/>
    </row>
    <row r="132" spans="6:19" ht="13" x14ac:dyDescent="0.3">
      <c r="Q132"/>
      <c r="R132"/>
      <c r="S132"/>
    </row>
    <row r="133" spans="6:19" ht="13" x14ac:dyDescent="0.3">
      <c r="Q133"/>
      <c r="R133"/>
      <c r="S133"/>
    </row>
    <row r="134" spans="6:19" ht="13" x14ac:dyDescent="0.3">
      <c r="Q134"/>
      <c r="R134"/>
      <c r="S134"/>
    </row>
    <row r="135" spans="6:19" ht="13" x14ac:dyDescent="0.3">
      <c r="Q135"/>
      <c r="R135"/>
      <c r="S135"/>
    </row>
    <row r="136" spans="6:19" ht="13" x14ac:dyDescent="0.3">
      <c r="Q136"/>
      <c r="R136"/>
      <c r="S136"/>
    </row>
    <row r="137" spans="6:19" ht="13" x14ac:dyDescent="0.3">
      <c r="Q137"/>
      <c r="R137"/>
      <c r="S137"/>
    </row>
    <row r="138" spans="6:19" ht="13" x14ac:dyDescent="0.3">
      <c r="Q138"/>
      <c r="R138"/>
      <c r="S138"/>
    </row>
    <row r="139" spans="6:19" ht="13" x14ac:dyDescent="0.3">
      <c r="Q139"/>
      <c r="R139"/>
      <c r="S139"/>
    </row>
    <row r="140" spans="6:19" ht="13" x14ac:dyDescent="0.3">
      <c r="Q140"/>
      <c r="R140"/>
      <c r="S140"/>
    </row>
    <row r="141" spans="6:19" ht="13" x14ac:dyDescent="0.3">
      <c r="Q141"/>
      <c r="R141"/>
      <c r="S141"/>
    </row>
    <row r="142" spans="6:19" ht="13" x14ac:dyDescent="0.3">
      <c r="Q142"/>
      <c r="R142"/>
      <c r="S142"/>
    </row>
    <row r="143" spans="6:19" ht="13" x14ac:dyDescent="0.3">
      <c r="Q143"/>
      <c r="R143"/>
    </row>
    <row r="144" spans="6:19" ht="13" x14ac:dyDescent="0.3">
      <c r="Q144"/>
      <c r="R144"/>
    </row>
    <row r="145" spans="17:18" ht="13" x14ac:dyDescent="0.3">
      <c r="Q145"/>
      <c r="R145"/>
    </row>
    <row r="146" spans="17:18" ht="13" x14ac:dyDescent="0.3">
      <c r="Q146"/>
      <c r="R146"/>
    </row>
    <row r="147" spans="17:18" ht="13" x14ac:dyDescent="0.3">
      <c r="Q147"/>
      <c r="R147"/>
    </row>
    <row r="148" spans="17:18" ht="13" x14ac:dyDescent="0.3">
      <c r="Q148"/>
      <c r="R148"/>
    </row>
    <row r="149" spans="17:18" ht="13" x14ac:dyDescent="0.3">
      <c r="Q149"/>
      <c r="R149"/>
    </row>
    <row r="150" spans="17:18" ht="13" x14ac:dyDescent="0.3">
      <c r="Q150"/>
      <c r="R150"/>
    </row>
    <row r="151" spans="17:18" ht="13" x14ac:dyDescent="0.3">
      <c r="Q151"/>
      <c r="R151"/>
    </row>
    <row r="152" spans="17:18" ht="13" x14ac:dyDescent="0.3">
      <c r="Q152"/>
      <c r="R152"/>
    </row>
    <row r="153" spans="17:18" ht="13" x14ac:dyDescent="0.3">
      <c r="Q153"/>
      <c r="R153"/>
    </row>
    <row r="154" spans="17:18" ht="13" x14ac:dyDescent="0.3">
      <c r="Q154"/>
      <c r="R154"/>
    </row>
    <row r="155" spans="17:18" ht="13" x14ac:dyDescent="0.3">
      <c r="Q155"/>
      <c r="R155"/>
    </row>
    <row r="156" spans="17:18" ht="13" x14ac:dyDescent="0.3">
      <c r="Q156"/>
      <c r="R156"/>
    </row>
    <row r="157" spans="17:18" ht="13" x14ac:dyDescent="0.3">
      <c r="Q157"/>
      <c r="R157"/>
    </row>
    <row r="158" spans="17:18" ht="13" x14ac:dyDescent="0.3">
      <c r="Q158"/>
      <c r="R158"/>
    </row>
    <row r="159" spans="17:18" ht="13" x14ac:dyDescent="0.3">
      <c r="Q159"/>
      <c r="R159"/>
    </row>
    <row r="160" spans="17:18" ht="13" x14ac:dyDescent="0.3">
      <c r="Q160"/>
      <c r="R160"/>
    </row>
    <row r="161" spans="17:18" ht="13" x14ac:dyDescent="0.3">
      <c r="Q161"/>
      <c r="R161"/>
    </row>
    <row r="162" spans="17:18" ht="13" x14ac:dyDescent="0.3">
      <c r="Q162"/>
      <c r="R162"/>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4342" r:id="rId7" name="Button 6">
              <controlPr defaultSize="0" print="0" autoFill="0" autoPict="0" macro="[0]!ThisWorkbook.Advanced_Instruction_Send_To_Answer_1">
                <anchor moveWithCells="1" sizeWithCells="1">
                  <from>
                    <xdr:col>12</xdr:col>
                    <xdr:colOff>374650</xdr:colOff>
                    <xdr:row>10</xdr:row>
                    <xdr:rowOff>31750</xdr:rowOff>
                  </from>
                  <to>
                    <xdr:col>15</xdr:col>
                    <xdr:colOff>495300</xdr:colOff>
                    <xdr:row>13</xdr:row>
                    <xdr:rowOff>69850</xdr:rowOff>
                  </to>
                </anchor>
              </controlPr>
            </control>
          </mc:Choice>
        </mc:AlternateContent>
        <mc:AlternateContent xmlns:mc="http://schemas.openxmlformats.org/markup-compatibility/2006">
          <mc:Choice Requires="x14">
            <control shapeId="14343" r:id="rId8" name="Button 7">
              <controlPr defaultSize="0" print="0" autoFill="0" autoPict="0" macro="[0]!ThisWorkbook.Advanced_Instruction_Send_To_Answer_2">
                <anchor moveWithCells="1" sizeWithCells="1">
                  <from>
                    <xdr:col>12</xdr:col>
                    <xdr:colOff>393700</xdr:colOff>
                    <xdr:row>24</xdr:row>
                    <xdr:rowOff>69850</xdr:rowOff>
                  </from>
                  <to>
                    <xdr:col>16</xdr:col>
                    <xdr:colOff>0</xdr:colOff>
                    <xdr:row>27</xdr:row>
                    <xdr:rowOff>107950</xdr:rowOff>
                  </to>
                </anchor>
              </controlPr>
            </control>
          </mc:Choice>
        </mc:AlternateContent>
        <mc:AlternateContent xmlns:mc="http://schemas.openxmlformats.org/markup-compatibility/2006">
          <mc:Choice Requires="x14">
            <control shapeId="14344" r:id="rId9" name="Button 8">
              <controlPr defaultSize="0" print="0" autoFill="0" autoPict="0" macro="[0]!ThisWorkbook.Advanced_Instruction_Send_To_Answer_3">
                <anchor moveWithCells="1" sizeWithCells="1">
                  <from>
                    <xdr:col>12</xdr:col>
                    <xdr:colOff>381000</xdr:colOff>
                    <xdr:row>46</xdr:row>
                    <xdr:rowOff>107950</xdr:rowOff>
                  </from>
                  <to>
                    <xdr:col>15</xdr:col>
                    <xdr:colOff>527050</xdr:colOff>
                    <xdr:row>49</xdr:row>
                    <xdr:rowOff>146050</xdr:rowOff>
                  </to>
                </anchor>
              </controlPr>
            </control>
          </mc:Choice>
        </mc:AlternateContent>
        <mc:AlternateContent xmlns:mc="http://schemas.openxmlformats.org/markup-compatibility/2006">
          <mc:Choice Requires="x14">
            <control shapeId="14347" r:id="rId10" name="Button 11">
              <controlPr defaultSize="0" print="0" autoFill="0" autoPict="0" macro="[0]!ThisWorkbook.Advanced_Instruction_Send_To_Answer_4">
                <anchor moveWithCells="1" sizeWithCells="1">
                  <from>
                    <xdr:col>14</xdr:col>
                    <xdr:colOff>374650</xdr:colOff>
                    <xdr:row>57</xdr:row>
                    <xdr:rowOff>31750</xdr:rowOff>
                  </from>
                  <to>
                    <xdr:col>16</xdr:col>
                    <xdr:colOff>1028700</xdr:colOff>
                    <xdr:row>60</xdr:row>
                    <xdr:rowOff>69850</xdr:rowOff>
                  </to>
                </anchor>
              </controlPr>
            </control>
          </mc:Choice>
        </mc:AlternateContent>
        <mc:AlternateContent xmlns:mc="http://schemas.openxmlformats.org/markup-compatibility/2006">
          <mc:Choice Requires="x14">
            <control shapeId="14348" r:id="rId11" name="Button 12">
              <controlPr defaultSize="0" print="0" autoFill="0" autoPict="0" macro="[0]!ThisWorkbook.Advanced_Instruction_Send_To_Answer_5">
                <anchor moveWithCells="1" sizeWithCells="1">
                  <from>
                    <xdr:col>14</xdr:col>
                    <xdr:colOff>336550</xdr:colOff>
                    <xdr:row>63</xdr:row>
                    <xdr:rowOff>146050</xdr:rowOff>
                  </from>
                  <to>
                    <xdr:col>16</xdr:col>
                    <xdr:colOff>1022350</xdr:colOff>
                    <xdr:row>67</xdr:row>
                    <xdr:rowOff>0</xdr:rowOff>
                  </to>
                </anchor>
              </controlPr>
            </control>
          </mc:Choice>
        </mc:AlternateContent>
        <mc:AlternateContent xmlns:mc="http://schemas.openxmlformats.org/markup-compatibility/2006">
          <mc:Choice Requires="x14">
            <control shapeId="14350" r:id="rId12" name="Button 14">
              <controlPr defaultSize="0" print="0" autoFill="0" autoPict="0">
                <anchor moveWithCells="1" sizeWithCells="1">
                  <from>
                    <xdr:col>14</xdr:col>
                    <xdr:colOff>76200</xdr:colOff>
                    <xdr:row>181</xdr:row>
                    <xdr:rowOff>146050</xdr:rowOff>
                  </from>
                  <to>
                    <xdr:col>16</xdr:col>
                    <xdr:colOff>755650</xdr:colOff>
                    <xdr:row>185</xdr:row>
                    <xdr:rowOff>12700</xdr:rowOff>
                  </to>
                </anchor>
              </controlPr>
            </control>
          </mc:Choice>
        </mc:AlternateContent>
        <mc:AlternateContent xmlns:mc="http://schemas.openxmlformats.org/markup-compatibility/2006">
          <mc:Choice Requires="x14">
            <control shapeId="14351" r:id="rId13" name="Button 15">
              <controlPr defaultSize="0" print="0" autoFill="0" autoPict="0">
                <anchor moveWithCells="1" sizeWithCells="1">
                  <from>
                    <xdr:col>14</xdr:col>
                    <xdr:colOff>69850</xdr:colOff>
                    <xdr:row>189</xdr:row>
                    <xdr:rowOff>76200</xdr:rowOff>
                  </from>
                  <to>
                    <xdr:col>16</xdr:col>
                    <xdr:colOff>736600</xdr:colOff>
                    <xdr:row>192</xdr:row>
                    <xdr:rowOff>107950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K115"/>
  <sheetViews>
    <sheetView showGridLines="0" zoomScale="80" workbookViewId="0"/>
  </sheetViews>
  <sheetFormatPr defaultColWidth="9.33203125" defaultRowHeight="12.5" outlineLevelRow="1" x14ac:dyDescent="0.25"/>
  <cols>
    <col min="1" max="5" width="9.33203125" style="2"/>
    <col min="6" max="6" width="37.109375" style="2" customWidth="1"/>
    <col min="7" max="7" width="20.77734375" style="2" customWidth="1"/>
    <col min="8"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0" ht="13" x14ac:dyDescent="0.3">
      <c r="A1" s="3" t="str">
        <f>Introduction!A1</f>
        <v>Problem Solving with Excel</v>
      </c>
    </row>
    <row r="2" spans="1:10" ht="13" x14ac:dyDescent="0.3">
      <c r="A2" s="3" t="str">
        <f>Introduction!A2</f>
        <v>Week 3</v>
      </c>
    </row>
    <row r="3" spans="1:10" ht="13" x14ac:dyDescent="0.3">
      <c r="A3" s="3" t="str">
        <f>Introduction!A3</f>
        <v>Pivot Tables</v>
      </c>
    </row>
    <row r="4" spans="1:10" ht="13" x14ac:dyDescent="0.3">
      <c r="A4" s="3" t="str">
        <f ca="1">MID(CELL("Filename",I7),SEARCH("]",CELL("Filename",I7),1)+1,100)</f>
        <v>Section 6- Calc Fields</v>
      </c>
    </row>
    <row r="7" spans="1:10" ht="18.5" x14ac:dyDescent="0.45">
      <c r="B7" s="5" t="s">
        <v>306</v>
      </c>
    </row>
    <row r="8" spans="1:10" ht="13" hidden="1" outlineLevel="1" x14ac:dyDescent="0.3">
      <c r="F8" s="46" t="s">
        <v>307</v>
      </c>
    </row>
    <row r="9" spans="1:10" ht="13" hidden="1" outlineLevel="1" x14ac:dyDescent="0.3">
      <c r="F9" s="50" t="s">
        <v>250</v>
      </c>
      <c r="G9" t="s">
        <v>246</v>
      </c>
      <c r="H9"/>
    </row>
    <row r="10" spans="1:10" ht="13" hidden="1" outlineLevel="1" x14ac:dyDescent="0.3">
      <c r="F10" s="51" t="s">
        <v>237</v>
      </c>
      <c r="G10" s="54">
        <v>1765</v>
      </c>
      <c r="H10"/>
    </row>
    <row r="11" spans="1:10" ht="13" hidden="1" outlineLevel="1" x14ac:dyDescent="0.3">
      <c r="F11" s="51" t="s">
        <v>245</v>
      </c>
      <c r="G11" s="54">
        <v>1444</v>
      </c>
      <c r="H11"/>
      <c r="I11"/>
    </row>
    <row r="12" spans="1:10" ht="13" hidden="1" outlineLevel="1" x14ac:dyDescent="0.3">
      <c r="F12" s="51" t="s">
        <v>240</v>
      </c>
      <c r="G12" s="54">
        <v>1357</v>
      </c>
      <c r="H12"/>
      <c r="I12"/>
    </row>
    <row r="13" spans="1:10" ht="13" hidden="1" outlineLevel="1" x14ac:dyDescent="0.3">
      <c r="F13" s="51" t="s">
        <v>239</v>
      </c>
      <c r="G13" s="54">
        <v>1246</v>
      </c>
      <c r="H13"/>
      <c r="I13"/>
    </row>
    <row r="14" spans="1:10" ht="13" hidden="1" outlineLevel="1" x14ac:dyDescent="0.3">
      <c r="F14" s="51" t="s">
        <v>244</v>
      </c>
      <c r="G14" s="54">
        <v>1011</v>
      </c>
      <c r="H14"/>
      <c r="I14"/>
    </row>
    <row r="15" spans="1:10" ht="13" hidden="1" outlineLevel="1" x14ac:dyDescent="0.3">
      <c r="F15" s="51" t="s">
        <v>238</v>
      </c>
      <c r="G15" s="54">
        <v>1008</v>
      </c>
      <c r="H15"/>
      <c r="I15"/>
    </row>
    <row r="16" spans="1:10" ht="13" hidden="1" outlineLevel="1" x14ac:dyDescent="0.3">
      <c r="F16" s="51" t="s">
        <v>242</v>
      </c>
      <c r="G16" s="54">
        <v>932</v>
      </c>
      <c r="H16"/>
      <c r="I16"/>
      <c r="J16"/>
    </row>
    <row r="17" spans="2:11" ht="13" hidden="1" outlineLevel="1" x14ac:dyDescent="0.3">
      <c r="F17" s="51" t="s">
        <v>235</v>
      </c>
      <c r="G17" s="54">
        <v>784</v>
      </c>
      <c r="H17"/>
      <c r="I17"/>
      <c r="J17"/>
    </row>
    <row r="18" spans="2:11" ht="13" hidden="1" outlineLevel="1" x14ac:dyDescent="0.3">
      <c r="F18" s="51" t="s">
        <v>236</v>
      </c>
      <c r="G18" s="54">
        <v>746</v>
      </c>
      <c r="H18"/>
      <c r="I18"/>
      <c r="J18"/>
    </row>
    <row r="19" spans="2:11" ht="13" hidden="1" outlineLevel="1" x14ac:dyDescent="0.3">
      <c r="F19" s="51" t="s">
        <v>243</v>
      </c>
      <c r="G19" s="54">
        <v>676</v>
      </c>
      <c r="H19"/>
      <c r="I19"/>
      <c r="J19"/>
    </row>
    <row r="20" spans="2:11" ht="13" hidden="1" outlineLevel="1" x14ac:dyDescent="0.3">
      <c r="F20" s="51" t="s">
        <v>232</v>
      </c>
      <c r="G20" s="54">
        <v>10969</v>
      </c>
    </row>
    <row r="21" spans="2:11" hidden="1" outlineLevel="1" x14ac:dyDescent="0.25"/>
    <row r="22" spans="2:11" hidden="1" outlineLevel="1" x14ac:dyDescent="0.25"/>
    <row r="23" spans="2:11" hidden="1" outlineLevel="1" x14ac:dyDescent="0.25"/>
    <row r="24" spans="2:11" ht="18.5" collapsed="1" x14ac:dyDescent="0.45">
      <c r="B24" s="5" t="s">
        <v>308</v>
      </c>
    </row>
    <row r="25" spans="2:11" ht="13" hidden="1" outlineLevel="1" x14ac:dyDescent="0.3">
      <c r="B25"/>
      <c r="C25"/>
      <c r="D25"/>
      <c r="E25"/>
      <c r="F25" s="46" t="s">
        <v>309</v>
      </c>
      <c r="G25"/>
      <c r="J25"/>
      <c r="K25"/>
    </row>
    <row r="26" spans="2:11" ht="13" hidden="1" outlineLevel="1" x14ac:dyDescent="0.3">
      <c r="B26"/>
      <c r="C26"/>
      <c r="D26"/>
      <c r="E26"/>
      <c r="F26" s="50" t="s">
        <v>8</v>
      </c>
      <c r="G26" t="s">
        <v>234</v>
      </c>
      <c r="J26"/>
      <c r="K26"/>
    </row>
    <row r="27" spans="2:11" ht="13" hidden="1" outlineLevel="1" x14ac:dyDescent="0.3">
      <c r="B27"/>
      <c r="C27"/>
      <c r="D27"/>
      <c r="E27"/>
      <c r="F27" s="51" t="s">
        <v>17</v>
      </c>
      <c r="G27" s="52">
        <v>3016</v>
      </c>
      <c r="J27"/>
      <c r="K27"/>
    </row>
    <row r="28" spans="2:11" ht="13" hidden="1" outlineLevel="1" x14ac:dyDescent="0.3">
      <c r="B28"/>
      <c r="C28"/>
      <c r="D28"/>
      <c r="E28"/>
      <c r="F28" s="51" t="s">
        <v>21</v>
      </c>
      <c r="G28" s="52">
        <v>2856.5</v>
      </c>
      <c r="J28"/>
      <c r="K28"/>
    </row>
    <row r="29" spans="2:11" ht="13" hidden="1" outlineLevel="1" x14ac:dyDescent="0.3">
      <c r="B29"/>
      <c r="C29"/>
      <c r="D29"/>
      <c r="E29"/>
      <c r="F29" s="51" t="s">
        <v>27</v>
      </c>
      <c r="G29" s="52">
        <v>2845.59</v>
      </c>
      <c r="H29"/>
      <c r="I29"/>
      <c r="J29"/>
      <c r="K29"/>
    </row>
    <row r="30" spans="2:11" ht="13" hidden="1" outlineLevel="1" x14ac:dyDescent="0.3">
      <c r="B30"/>
      <c r="C30"/>
      <c r="D30"/>
      <c r="E30"/>
      <c r="F30" s="51" t="s">
        <v>35</v>
      </c>
      <c r="G30" s="52">
        <v>2628.2699999999995</v>
      </c>
      <c r="H30"/>
      <c r="I30"/>
      <c r="J30"/>
      <c r="K30"/>
    </row>
    <row r="31" spans="2:11" ht="13" hidden="1" outlineLevel="1" x14ac:dyDescent="0.3">
      <c r="B31"/>
      <c r="C31"/>
      <c r="D31"/>
      <c r="E31"/>
      <c r="F31" s="51" t="s">
        <v>24</v>
      </c>
      <c r="G31" s="52">
        <v>2552</v>
      </c>
      <c r="H31"/>
      <c r="I31"/>
      <c r="J31"/>
      <c r="K31"/>
    </row>
    <row r="32" spans="2:11" ht="13" hidden="1" outlineLevel="1" x14ac:dyDescent="0.3">
      <c r="B32"/>
      <c r="C32"/>
      <c r="D32"/>
      <c r="E32"/>
      <c r="F32" s="51" t="s">
        <v>29</v>
      </c>
      <c r="G32" s="52">
        <v>2407</v>
      </c>
      <c r="H32"/>
      <c r="I32"/>
      <c r="J32"/>
      <c r="K32"/>
    </row>
    <row r="33" spans="2:11" ht="13" hidden="1" outlineLevel="1" x14ac:dyDescent="0.3">
      <c r="B33"/>
      <c r="C33"/>
      <c r="D33"/>
      <c r="E33"/>
      <c r="F33" s="51" t="s">
        <v>31</v>
      </c>
      <c r="G33" s="52">
        <v>2276.5</v>
      </c>
      <c r="H33"/>
      <c r="I33"/>
      <c r="J33"/>
      <c r="K33"/>
    </row>
    <row r="34" spans="2:11" ht="13" hidden="1" outlineLevel="1" x14ac:dyDescent="0.3">
      <c r="B34"/>
      <c r="C34"/>
      <c r="D34"/>
      <c r="E34"/>
      <c r="F34" s="51" t="s">
        <v>80</v>
      </c>
      <c r="G34" s="52">
        <v>2106.0500000000002</v>
      </c>
      <c r="H34"/>
      <c r="I34"/>
      <c r="J34"/>
      <c r="K34"/>
    </row>
    <row r="35" spans="2:11" ht="13" hidden="1" outlineLevel="1" x14ac:dyDescent="0.3">
      <c r="B35"/>
      <c r="C35"/>
      <c r="D35"/>
      <c r="E35"/>
      <c r="F35" s="51" t="s">
        <v>33</v>
      </c>
      <c r="G35" s="52">
        <v>2059</v>
      </c>
      <c r="H35"/>
      <c r="I35"/>
      <c r="J35"/>
      <c r="K35"/>
    </row>
    <row r="36" spans="2:11" ht="13" hidden="1" outlineLevel="1" x14ac:dyDescent="0.3">
      <c r="B36"/>
      <c r="C36"/>
      <c r="D36"/>
      <c r="E36"/>
      <c r="F36" s="51" t="s">
        <v>38</v>
      </c>
      <c r="G36" s="52">
        <v>1845</v>
      </c>
      <c r="H36"/>
      <c r="I36"/>
      <c r="J36"/>
      <c r="K36"/>
    </row>
    <row r="37" spans="2:11" ht="13" hidden="1" outlineLevel="1" x14ac:dyDescent="0.3">
      <c r="B37"/>
      <c r="C37"/>
      <c r="D37"/>
      <c r="E37"/>
      <c r="F37" s="51" t="s">
        <v>41</v>
      </c>
      <c r="G37" s="52">
        <v>1791</v>
      </c>
      <c r="H37"/>
      <c r="I37"/>
      <c r="J37"/>
      <c r="K37"/>
    </row>
    <row r="38" spans="2:11" ht="13" hidden="1" outlineLevel="1" x14ac:dyDescent="0.3">
      <c r="B38"/>
      <c r="C38"/>
      <c r="D38"/>
      <c r="E38"/>
      <c r="F38" s="51" t="s">
        <v>43</v>
      </c>
      <c r="G38" s="52">
        <v>1692</v>
      </c>
      <c r="H38"/>
      <c r="I38"/>
      <c r="J38"/>
      <c r="K38"/>
    </row>
    <row r="39" spans="2:11" ht="13" hidden="1" outlineLevel="1" x14ac:dyDescent="0.3">
      <c r="B39"/>
      <c r="C39"/>
      <c r="D39"/>
      <c r="E39"/>
      <c r="F39" s="51" t="s">
        <v>45</v>
      </c>
      <c r="G39" s="52">
        <v>1692</v>
      </c>
      <c r="H39"/>
      <c r="I39"/>
      <c r="J39"/>
      <c r="K39"/>
    </row>
    <row r="40" spans="2:11" ht="13" hidden="1" outlineLevel="1" x14ac:dyDescent="0.3">
      <c r="F40" s="51" t="s">
        <v>47</v>
      </c>
      <c r="G40" s="52">
        <v>1668.33</v>
      </c>
      <c r="H40"/>
      <c r="I40"/>
    </row>
    <row r="41" spans="2:11" ht="13" hidden="1" outlineLevel="1" x14ac:dyDescent="0.3">
      <c r="F41" s="51" t="s">
        <v>49</v>
      </c>
      <c r="G41" s="52">
        <v>1628.3700000000001</v>
      </c>
      <c r="H41"/>
      <c r="I41"/>
      <c r="J41"/>
      <c r="K41"/>
    </row>
    <row r="42" spans="2:11" ht="13" hidden="1" outlineLevel="1" x14ac:dyDescent="0.3">
      <c r="F42" s="51" t="s">
        <v>51</v>
      </c>
      <c r="G42" s="52">
        <v>1530</v>
      </c>
      <c r="H42"/>
      <c r="I42"/>
    </row>
    <row r="43" spans="2:11" ht="13" hidden="1" outlineLevel="1" x14ac:dyDescent="0.3">
      <c r="F43" s="51" t="s">
        <v>53</v>
      </c>
      <c r="G43" s="52">
        <v>1479</v>
      </c>
      <c r="H43"/>
      <c r="I43"/>
    </row>
    <row r="44" spans="2:11" ht="13" hidden="1" outlineLevel="1" x14ac:dyDescent="0.3">
      <c r="F44" s="51" t="s">
        <v>55</v>
      </c>
      <c r="G44" s="52">
        <v>1440</v>
      </c>
      <c r="H44"/>
      <c r="I44"/>
    </row>
    <row r="45" spans="2:11" ht="13" hidden="1" outlineLevel="1" x14ac:dyDescent="0.3">
      <c r="F45" s="51" t="s">
        <v>57</v>
      </c>
      <c r="G45" s="52">
        <v>1425.96</v>
      </c>
      <c r="H45"/>
      <c r="I45"/>
    </row>
    <row r="46" spans="2:11" ht="13" hidden="1" outlineLevel="1" x14ac:dyDescent="0.3">
      <c r="F46" s="51" t="s">
        <v>60</v>
      </c>
      <c r="G46" s="52">
        <v>1408.59</v>
      </c>
      <c r="H46"/>
      <c r="I46"/>
    </row>
    <row r="47" spans="2:11" ht="13" hidden="1" outlineLevel="1" x14ac:dyDescent="0.3">
      <c r="F47" s="51" t="s">
        <v>87</v>
      </c>
      <c r="G47" s="52">
        <v>1359</v>
      </c>
      <c r="H47"/>
      <c r="I47"/>
    </row>
    <row r="48" spans="2:11" ht="13" hidden="1" outlineLevel="1" x14ac:dyDescent="0.3">
      <c r="F48" s="51" t="s">
        <v>62</v>
      </c>
      <c r="G48" s="52">
        <v>1323</v>
      </c>
      <c r="H48"/>
      <c r="I48"/>
    </row>
    <row r="49" spans="6:9" ht="13" hidden="1" outlineLevel="1" x14ac:dyDescent="0.3">
      <c r="F49" s="51" t="s">
        <v>73</v>
      </c>
      <c r="G49" s="52">
        <v>1293</v>
      </c>
      <c r="H49"/>
      <c r="I49"/>
    </row>
    <row r="50" spans="6:9" ht="13" hidden="1" outlineLevel="1" x14ac:dyDescent="0.3">
      <c r="F50" s="51" t="s">
        <v>64</v>
      </c>
      <c r="G50" s="52">
        <v>1286.1600000000001</v>
      </c>
      <c r="H50"/>
      <c r="I50"/>
    </row>
    <row r="51" spans="6:9" ht="13" hidden="1" outlineLevel="1" x14ac:dyDescent="0.3">
      <c r="F51" s="51" t="s">
        <v>66</v>
      </c>
      <c r="G51" s="52">
        <v>1269</v>
      </c>
      <c r="H51"/>
      <c r="I51"/>
    </row>
    <row r="52" spans="6:9" ht="13" hidden="1" outlineLevel="1" x14ac:dyDescent="0.3">
      <c r="F52" s="51" t="s">
        <v>68</v>
      </c>
      <c r="G52" s="52">
        <v>1215</v>
      </c>
      <c r="H52"/>
      <c r="I52"/>
    </row>
    <row r="53" spans="6:9" ht="13" hidden="1" outlineLevel="1" x14ac:dyDescent="0.3">
      <c r="F53" s="51" t="s">
        <v>70</v>
      </c>
      <c r="G53" s="52">
        <v>1144</v>
      </c>
      <c r="H53"/>
      <c r="I53"/>
    </row>
    <row r="54" spans="6:9" ht="13" hidden="1" outlineLevel="1" x14ac:dyDescent="0.3">
      <c r="F54" s="51" t="s">
        <v>76</v>
      </c>
      <c r="G54" s="52">
        <v>1058.5</v>
      </c>
      <c r="H54"/>
      <c r="I54"/>
    </row>
    <row r="55" spans="6:9" ht="13" hidden="1" outlineLevel="1" x14ac:dyDescent="0.3">
      <c r="F55" s="51" t="s">
        <v>78</v>
      </c>
      <c r="G55" s="52">
        <v>1044</v>
      </c>
      <c r="H55"/>
      <c r="I55"/>
    </row>
    <row r="56" spans="6:9" ht="13" hidden="1" outlineLevel="1" x14ac:dyDescent="0.3">
      <c r="F56" s="51" t="s">
        <v>117</v>
      </c>
      <c r="G56" s="52">
        <v>1037.08</v>
      </c>
      <c r="H56"/>
      <c r="I56"/>
    </row>
    <row r="57" spans="6:9" ht="13" hidden="1" outlineLevel="1" x14ac:dyDescent="0.3">
      <c r="F57" s="51" t="s">
        <v>131</v>
      </c>
      <c r="G57" s="52">
        <v>1009.11</v>
      </c>
      <c r="H57"/>
      <c r="I57"/>
    </row>
    <row r="58" spans="6:9" ht="13" hidden="1" outlineLevel="1" x14ac:dyDescent="0.3">
      <c r="F58" s="51" t="s">
        <v>85</v>
      </c>
      <c r="G58" s="52">
        <v>973.5</v>
      </c>
      <c r="H58"/>
      <c r="I58"/>
    </row>
    <row r="59" spans="6:9" ht="13" hidden="1" outlineLevel="1" x14ac:dyDescent="0.3">
      <c r="F59" s="51" t="s">
        <v>82</v>
      </c>
      <c r="G59" s="52">
        <v>913.5</v>
      </c>
      <c r="H59"/>
      <c r="I59"/>
    </row>
    <row r="60" spans="6:9" ht="13" hidden="1" outlineLevel="1" x14ac:dyDescent="0.3">
      <c r="F60" s="51" t="s">
        <v>133</v>
      </c>
      <c r="G60" s="52">
        <v>907.16</v>
      </c>
      <c r="H60"/>
      <c r="I60"/>
    </row>
    <row r="61" spans="6:9" ht="13" hidden="1" outlineLevel="1" x14ac:dyDescent="0.3">
      <c r="F61" s="51" t="s">
        <v>89</v>
      </c>
      <c r="G61" s="52">
        <v>873.75</v>
      </c>
    </row>
    <row r="62" spans="6:9" ht="13" hidden="1" outlineLevel="1" x14ac:dyDescent="0.3">
      <c r="F62" s="51" t="s">
        <v>91</v>
      </c>
      <c r="G62" s="52">
        <v>850.5</v>
      </c>
    </row>
    <row r="63" spans="6:9" ht="13" hidden="1" outlineLevel="1" x14ac:dyDescent="0.3">
      <c r="F63" s="51" t="s">
        <v>144</v>
      </c>
      <c r="G63" s="52">
        <v>836.5</v>
      </c>
    </row>
    <row r="64" spans="6:9" ht="13" hidden="1" outlineLevel="1" x14ac:dyDescent="0.3">
      <c r="F64" s="51" t="s">
        <v>93</v>
      </c>
      <c r="G64" s="52">
        <v>819</v>
      </c>
    </row>
    <row r="65" spans="6:7" ht="13" hidden="1" outlineLevel="1" x14ac:dyDescent="0.3">
      <c r="F65" s="51" t="s">
        <v>163</v>
      </c>
      <c r="G65" s="52">
        <v>807</v>
      </c>
    </row>
    <row r="66" spans="6:7" ht="13" hidden="1" outlineLevel="1" x14ac:dyDescent="0.3">
      <c r="F66" s="51" t="s">
        <v>95</v>
      </c>
      <c r="G66" s="52">
        <v>801.99</v>
      </c>
    </row>
    <row r="67" spans="6:7" ht="13" hidden="1" outlineLevel="1" x14ac:dyDescent="0.3">
      <c r="F67" s="51" t="s">
        <v>98</v>
      </c>
      <c r="G67" s="52">
        <v>801</v>
      </c>
    </row>
    <row r="68" spans="6:7" ht="13" hidden="1" outlineLevel="1" x14ac:dyDescent="0.3">
      <c r="F68" s="51" t="s">
        <v>100</v>
      </c>
      <c r="G68" s="52">
        <v>754.92000000000007</v>
      </c>
    </row>
    <row r="69" spans="6:7" ht="13" hidden="1" outlineLevel="1" x14ac:dyDescent="0.3">
      <c r="F69" s="51" t="s">
        <v>102</v>
      </c>
      <c r="G69" s="52">
        <v>750</v>
      </c>
    </row>
    <row r="70" spans="6:7" ht="13" hidden="1" outlineLevel="1" x14ac:dyDescent="0.3">
      <c r="F70" s="51" t="s">
        <v>104</v>
      </c>
      <c r="G70" s="52">
        <v>742.5</v>
      </c>
    </row>
    <row r="71" spans="6:7" ht="13" hidden="1" outlineLevel="1" x14ac:dyDescent="0.3">
      <c r="F71" s="51" t="s">
        <v>125</v>
      </c>
      <c r="G71" s="52">
        <v>732.87</v>
      </c>
    </row>
    <row r="72" spans="6:7" ht="13" hidden="1" outlineLevel="1" x14ac:dyDescent="0.3">
      <c r="F72" s="51" t="s">
        <v>113</v>
      </c>
      <c r="G72" s="52">
        <v>717</v>
      </c>
    </row>
    <row r="73" spans="6:7" ht="13" hidden="1" outlineLevel="1" x14ac:dyDescent="0.3">
      <c r="F73" s="51" t="s">
        <v>121</v>
      </c>
      <c r="G73" s="52">
        <v>714.45</v>
      </c>
    </row>
    <row r="74" spans="6:7" ht="13" hidden="1" outlineLevel="1" x14ac:dyDescent="0.3">
      <c r="F74" s="51" t="s">
        <v>109</v>
      </c>
      <c r="G74" s="52">
        <v>678.30000000000007</v>
      </c>
    </row>
    <row r="75" spans="6:7" ht="13" hidden="1" outlineLevel="1" x14ac:dyDescent="0.3">
      <c r="F75" s="51" t="s">
        <v>111</v>
      </c>
      <c r="G75" s="52">
        <v>678</v>
      </c>
    </row>
    <row r="76" spans="6:7" ht="13" hidden="1" outlineLevel="1" x14ac:dyDescent="0.3">
      <c r="F76" s="51" t="s">
        <v>178</v>
      </c>
      <c r="G76" s="52">
        <v>645.63</v>
      </c>
    </row>
    <row r="77" spans="6:7" ht="13" hidden="1" outlineLevel="1" x14ac:dyDescent="0.3">
      <c r="F77" s="51" t="s">
        <v>115</v>
      </c>
      <c r="G77" s="52">
        <v>621</v>
      </c>
    </row>
    <row r="78" spans="6:7" ht="13" hidden="1" outlineLevel="1" x14ac:dyDescent="0.3">
      <c r="F78" s="51" t="s">
        <v>119</v>
      </c>
      <c r="G78" s="52">
        <v>617.5</v>
      </c>
    </row>
    <row r="79" spans="6:7" ht="13" hidden="1" outlineLevel="1" x14ac:dyDescent="0.3">
      <c r="F79" s="51" t="s">
        <v>123</v>
      </c>
      <c r="G79" s="52">
        <v>604.5</v>
      </c>
    </row>
    <row r="80" spans="6:7" ht="13" hidden="1" outlineLevel="1" x14ac:dyDescent="0.3">
      <c r="F80" s="51" t="s">
        <v>127</v>
      </c>
      <c r="G80" s="52">
        <v>602.49</v>
      </c>
    </row>
    <row r="81" spans="6:7" ht="13" hidden="1" outlineLevel="1" x14ac:dyDescent="0.3">
      <c r="F81" s="51" t="s">
        <v>129</v>
      </c>
      <c r="G81" s="52">
        <v>600</v>
      </c>
    </row>
    <row r="82" spans="6:7" ht="13" hidden="1" outlineLevel="1" x14ac:dyDescent="0.3">
      <c r="F82" s="51" t="s">
        <v>135</v>
      </c>
      <c r="G82" s="52">
        <v>573.18000000000006</v>
      </c>
    </row>
    <row r="83" spans="6:7" ht="13" hidden="1" outlineLevel="1" x14ac:dyDescent="0.3">
      <c r="F83" s="51" t="s">
        <v>137</v>
      </c>
      <c r="G83" s="52">
        <v>567</v>
      </c>
    </row>
    <row r="84" spans="6:7" ht="13" hidden="1" outlineLevel="1" x14ac:dyDescent="0.3">
      <c r="F84" s="51" t="s">
        <v>139</v>
      </c>
      <c r="G84" s="52">
        <v>546.63</v>
      </c>
    </row>
    <row r="85" spans="6:7" ht="13" hidden="1" outlineLevel="1" x14ac:dyDescent="0.3">
      <c r="F85" s="51" t="s">
        <v>141</v>
      </c>
      <c r="G85" s="52">
        <v>537</v>
      </c>
    </row>
    <row r="86" spans="6:7" ht="13" hidden="1" outlineLevel="1" x14ac:dyDescent="0.3">
      <c r="F86" s="51" t="s">
        <v>146</v>
      </c>
      <c r="G86" s="52">
        <v>534</v>
      </c>
    </row>
    <row r="87" spans="6:7" ht="13" hidden="1" outlineLevel="1" x14ac:dyDescent="0.3">
      <c r="F87" s="51" t="s">
        <v>148</v>
      </c>
      <c r="G87" s="52">
        <v>522.69000000000005</v>
      </c>
    </row>
    <row r="88" spans="6:7" ht="13" hidden="1" outlineLevel="1" x14ac:dyDescent="0.3">
      <c r="F88" s="51" t="s">
        <v>150</v>
      </c>
      <c r="G88" s="52">
        <v>500.5</v>
      </c>
    </row>
    <row r="89" spans="6:7" ht="13" hidden="1" outlineLevel="1" x14ac:dyDescent="0.3">
      <c r="F89" s="51" t="s">
        <v>152</v>
      </c>
      <c r="G89" s="52">
        <v>492</v>
      </c>
    </row>
    <row r="90" spans="6:7" ht="13" hidden="1" outlineLevel="1" x14ac:dyDescent="0.3">
      <c r="F90" s="51" t="s">
        <v>155</v>
      </c>
      <c r="G90" s="52">
        <v>486.78000000000003</v>
      </c>
    </row>
    <row r="91" spans="6:7" ht="13" hidden="1" outlineLevel="1" x14ac:dyDescent="0.3">
      <c r="F91" s="51" t="s">
        <v>159</v>
      </c>
      <c r="G91" s="52">
        <v>468.33000000000004</v>
      </c>
    </row>
    <row r="92" spans="6:7" ht="13" hidden="1" outlineLevel="1" x14ac:dyDescent="0.3">
      <c r="F92" s="51" t="s">
        <v>161</v>
      </c>
      <c r="G92" s="52">
        <v>461.5</v>
      </c>
    </row>
    <row r="93" spans="6:7" ht="13" hidden="1" outlineLevel="1" x14ac:dyDescent="0.3">
      <c r="F93" s="51" t="s">
        <v>165</v>
      </c>
      <c r="G93" s="52">
        <v>423</v>
      </c>
    </row>
    <row r="94" spans="6:7" ht="13" hidden="1" outlineLevel="1" x14ac:dyDescent="0.3">
      <c r="F94" s="51" t="s">
        <v>167</v>
      </c>
      <c r="G94" s="52">
        <v>422.5</v>
      </c>
    </row>
    <row r="95" spans="6:7" ht="13" hidden="1" outlineLevel="1" x14ac:dyDescent="0.3">
      <c r="F95" s="51" t="s">
        <v>170</v>
      </c>
      <c r="G95" s="52">
        <v>416</v>
      </c>
    </row>
    <row r="96" spans="6:7" ht="13" hidden="1" outlineLevel="1" x14ac:dyDescent="0.3">
      <c r="F96" s="51" t="s">
        <v>174</v>
      </c>
      <c r="G96" s="52">
        <v>409.59000000000003</v>
      </c>
    </row>
    <row r="97" spans="6:7" ht="13" hidden="1" outlineLevel="1" x14ac:dyDescent="0.3">
      <c r="F97" s="51" t="s">
        <v>176</v>
      </c>
      <c r="G97" s="52">
        <v>405</v>
      </c>
    </row>
    <row r="98" spans="6:7" ht="13" hidden="1" outlineLevel="1" x14ac:dyDescent="0.3">
      <c r="F98" s="51" t="s">
        <v>180</v>
      </c>
      <c r="G98" s="52">
        <v>382.5</v>
      </c>
    </row>
    <row r="99" spans="6:7" ht="13" hidden="1" outlineLevel="1" x14ac:dyDescent="0.3">
      <c r="F99" s="51" t="s">
        <v>183</v>
      </c>
      <c r="G99" s="52">
        <v>336</v>
      </c>
    </row>
    <row r="100" spans="6:7" ht="13" hidden="1" outlineLevel="1" x14ac:dyDescent="0.3">
      <c r="F100" s="51" t="s">
        <v>185</v>
      </c>
      <c r="G100" s="52">
        <v>319.20000000000005</v>
      </c>
    </row>
    <row r="101" spans="6:7" ht="13" hidden="1" outlineLevel="1" x14ac:dyDescent="0.3">
      <c r="F101" s="51" t="s">
        <v>187</v>
      </c>
      <c r="G101" s="52">
        <v>312</v>
      </c>
    </row>
    <row r="102" spans="6:7" ht="13" hidden="1" outlineLevel="1" x14ac:dyDescent="0.3">
      <c r="F102" s="51" t="s">
        <v>196</v>
      </c>
      <c r="G102" s="52">
        <v>276</v>
      </c>
    </row>
    <row r="103" spans="6:7" ht="13" hidden="1" outlineLevel="1" x14ac:dyDescent="0.3">
      <c r="F103" s="51" t="s">
        <v>191</v>
      </c>
      <c r="G103" s="52">
        <v>261</v>
      </c>
    </row>
    <row r="104" spans="6:7" ht="13" hidden="1" outlineLevel="1" x14ac:dyDescent="0.3">
      <c r="F104" s="51" t="s">
        <v>193</v>
      </c>
      <c r="G104" s="52">
        <v>259.35000000000002</v>
      </c>
    </row>
    <row r="105" spans="6:7" ht="13" hidden="1" outlineLevel="1" x14ac:dyDescent="0.3">
      <c r="F105" s="51" t="s">
        <v>198</v>
      </c>
      <c r="G105" s="52">
        <v>231</v>
      </c>
    </row>
    <row r="106" spans="6:7" ht="13" hidden="1" outlineLevel="1" x14ac:dyDescent="0.3">
      <c r="F106" s="51" t="s">
        <v>200</v>
      </c>
      <c r="G106" s="52">
        <v>227.43</v>
      </c>
    </row>
    <row r="107" spans="6:7" ht="13" hidden="1" outlineLevel="1" x14ac:dyDescent="0.3">
      <c r="F107" s="51" t="s">
        <v>202</v>
      </c>
      <c r="G107" s="52">
        <v>219.78</v>
      </c>
    </row>
    <row r="108" spans="6:7" ht="13" hidden="1" outlineLevel="1" x14ac:dyDescent="0.3">
      <c r="F108" s="51" t="s">
        <v>206</v>
      </c>
      <c r="G108" s="52">
        <v>143</v>
      </c>
    </row>
    <row r="109" spans="6:7" ht="13" hidden="1" outlineLevel="1" x14ac:dyDescent="0.3">
      <c r="F109" s="51" t="s">
        <v>208</v>
      </c>
      <c r="G109" s="52">
        <v>139.86000000000001</v>
      </c>
    </row>
    <row r="110" spans="6:7" ht="13" hidden="1" outlineLevel="1" x14ac:dyDescent="0.3">
      <c r="F110" s="51" t="s">
        <v>211</v>
      </c>
      <c r="G110" s="52">
        <v>111.72</v>
      </c>
    </row>
    <row r="111" spans="6:7" ht="13" hidden="1" outlineLevel="1" x14ac:dyDescent="0.3">
      <c r="F111" s="51" t="s">
        <v>215</v>
      </c>
      <c r="G111" s="52">
        <v>54</v>
      </c>
    </row>
    <row r="112" spans="6:7" ht="13" hidden="1" outlineLevel="1" x14ac:dyDescent="0.3">
      <c r="F112" s="51" t="s">
        <v>217</v>
      </c>
      <c r="G112" s="52">
        <v>45</v>
      </c>
    </row>
    <row r="113" spans="6:7" ht="13" hidden="1" outlineLevel="1" x14ac:dyDescent="0.3">
      <c r="F113" s="51" t="s">
        <v>222</v>
      </c>
      <c r="G113" s="52">
        <v>31.5</v>
      </c>
    </row>
    <row r="114" spans="6:7" ht="13" hidden="1" outlineLevel="1" x14ac:dyDescent="0.3">
      <c r="F114" s="51" t="s">
        <v>232</v>
      </c>
      <c r="G114" s="52">
        <v>82543.11000000003</v>
      </c>
    </row>
    <row r="115" spans="6:7" collapsed="1" x14ac:dyDescent="0.25"/>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ThisWorkbook.Calc_Send_To_Answer_1">
                <anchor moveWithCells="1" sizeWithCells="1">
                  <from>
                    <xdr:col>10</xdr:col>
                    <xdr:colOff>609600</xdr:colOff>
                    <xdr:row>11</xdr:row>
                    <xdr:rowOff>76200</xdr:rowOff>
                  </from>
                  <to>
                    <xdr:col>13</xdr:col>
                    <xdr:colOff>450850</xdr:colOff>
                    <xdr:row>14</xdr:row>
                    <xdr:rowOff>114300</xdr:rowOff>
                  </to>
                </anchor>
              </controlPr>
            </control>
          </mc:Choice>
        </mc:AlternateContent>
        <mc:AlternateContent xmlns:mc="http://schemas.openxmlformats.org/markup-compatibility/2006">
          <mc:Choice Requires="x14">
            <control shapeId="15362" r:id="rId7" name="Button 2">
              <controlPr defaultSize="0" print="0" autoFill="0" autoPict="0" macro="[0]!ThisWorkbook.Calc_Send_To_Answer_2">
                <anchor moveWithCells="1" sizeWithCells="1">
                  <from>
                    <xdr:col>10</xdr:col>
                    <xdr:colOff>679450</xdr:colOff>
                    <xdr:row>26</xdr:row>
                    <xdr:rowOff>107950</xdr:rowOff>
                  </from>
                  <to>
                    <xdr:col>13</xdr:col>
                    <xdr:colOff>495300</xdr:colOff>
                    <xdr:row>29</xdr:row>
                    <xdr:rowOff>146050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tint="0.39997558519241921"/>
  </sheetPr>
  <dimension ref="A1:Q148"/>
  <sheetViews>
    <sheetView showGridLines="0" zoomScale="80" workbookViewId="0">
      <selection activeCell="P34" sqref="P34"/>
    </sheetView>
  </sheetViews>
  <sheetFormatPr defaultColWidth="9.33203125" defaultRowHeight="12.5" outlineLevelRow="1" x14ac:dyDescent="0.25"/>
  <cols>
    <col min="1" max="5" width="9.33203125" style="2"/>
    <col min="6" max="6" width="37.109375" style="2" customWidth="1"/>
    <col min="7" max="7" width="22.77734375" style="2" customWidth="1"/>
    <col min="8" max="8" width="16" style="2" customWidth="1"/>
    <col min="9" max="9" width="20.77734375" style="2" bestFit="1" customWidth="1"/>
    <col min="10" max="10" width="16" style="2" customWidth="1"/>
    <col min="11" max="11" width="20.77734375" style="2" customWidth="1"/>
    <col min="12" max="12" width="16" style="2" bestFit="1" customWidth="1"/>
    <col min="13" max="13" width="27.33203125" style="2" bestFit="1" customWidth="1"/>
    <col min="14" max="14" width="21.6640625" style="2" bestFit="1" customWidth="1"/>
    <col min="15" max="15" width="9.33203125" style="2"/>
    <col min="16" max="16" width="20.6640625" style="2" customWidth="1"/>
    <col min="17" max="17" width="20.77734375" style="2" bestFit="1" customWidth="1"/>
    <col min="18" max="16384" width="9.33203125" style="2"/>
  </cols>
  <sheetData>
    <row r="1" spans="1:16" ht="13" x14ac:dyDescent="0.3">
      <c r="A1" s="3" t="str">
        <f>Introduction!A1</f>
        <v>Problem Solving with Excel</v>
      </c>
    </row>
    <row r="2" spans="1:16" ht="13" x14ac:dyDescent="0.3">
      <c r="A2" s="3" t="str">
        <f>Introduction!A2</f>
        <v>Week 3</v>
      </c>
    </row>
    <row r="3" spans="1:16" ht="13" x14ac:dyDescent="0.3">
      <c r="A3" s="3" t="str">
        <f>Introduction!A3</f>
        <v>Pivot Tables</v>
      </c>
    </row>
    <row r="4" spans="1:16" ht="13" x14ac:dyDescent="0.3">
      <c r="A4" s="3" t="str">
        <f ca="1">MID(CELL("Filename",I7),SEARCH("]",CELL("Filename",I7),1)+1,100)</f>
        <v>Section 6 - Calc Field (ANS)</v>
      </c>
    </row>
    <row r="6" spans="1:16" ht="13" x14ac:dyDescent="0.3">
      <c r="P6"/>
    </row>
    <row r="7" spans="1:16" ht="18.5" x14ac:dyDescent="0.45">
      <c r="B7" s="5" t="s">
        <v>306</v>
      </c>
    </row>
    <row r="8" spans="1:16" ht="13" outlineLevel="1" x14ac:dyDescent="0.3">
      <c r="F8" s="46" t="s">
        <v>310</v>
      </c>
      <c r="K8"/>
      <c r="L8"/>
      <c r="M8"/>
    </row>
    <row r="9" spans="1:16" ht="13" outlineLevel="1" x14ac:dyDescent="0.3">
      <c r="F9"/>
      <c r="G9" s="50" t="s">
        <v>254</v>
      </c>
      <c r="H9"/>
      <c r="I9"/>
      <c r="J9"/>
      <c r="K9"/>
      <c r="L9"/>
      <c r="M9"/>
      <c r="N9"/>
    </row>
    <row r="10" spans="1:16" ht="13" outlineLevel="1" x14ac:dyDescent="0.3">
      <c r="F10"/>
      <c r="G10" t="s">
        <v>22</v>
      </c>
      <c r="H10"/>
      <c r="I10" t="s">
        <v>19</v>
      </c>
      <c r="J10"/>
      <c r="K10" t="s">
        <v>25</v>
      </c>
      <c r="L10"/>
      <c r="M10" t="s">
        <v>255</v>
      </c>
      <c r="N10" t="s">
        <v>256</v>
      </c>
    </row>
    <row r="11" spans="1:16" ht="13" outlineLevel="1" x14ac:dyDescent="0.3">
      <c r="F11" s="50" t="s">
        <v>250</v>
      </c>
      <c r="G11" t="s">
        <v>234</v>
      </c>
      <c r="H11" t="s">
        <v>252</v>
      </c>
      <c r="I11" t="s">
        <v>234</v>
      </c>
      <c r="J11" t="s">
        <v>252</v>
      </c>
      <c r="K11" t="s">
        <v>234</v>
      </c>
      <c r="L11" t="s">
        <v>252</v>
      </c>
      <c r="M11"/>
      <c r="N11"/>
    </row>
    <row r="12" spans="1:16" ht="13" outlineLevel="1" x14ac:dyDescent="0.3">
      <c r="F12" s="51" t="s">
        <v>235</v>
      </c>
      <c r="G12" s="52">
        <v>750</v>
      </c>
      <c r="H12" s="52">
        <v>56.25</v>
      </c>
      <c r="I12" s="52">
        <v>1272</v>
      </c>
      <c r="J12" s="52">
        <v>95.399999999999991</v>
      </c>
      <c r="K12" s="52">
        <v>2682</v>
      </c>
      <c r="L12" s="52">
        <v>201.15</v>
      </c>
      <c r="M12" s="52">
        <v>4704</v>
      </c>
      <c r="N12" s="52">
        <v>352.8</v>
      </c>
    </row>
    <row r="13" spans="1:16" ht="13" outlineLevel="1" x14ac:dyDescent="0.3">
      <c r="F13" s="51" t="s">
        <v>236</v>
      </c>
      <c r="G13" s="52">
        <v>461.5</v>
      </c>
      <c r="H13" s="52">
        <v>34.612499999999997</v>
      </c>
      <c r="I13" s="52">
        <v>2424.5</v>
      </c>
      <c r="J13" s="52">
        <v>181.83750000000001</v>
      </c>
      <c r="K13" s="52">
        <v>1963</v>
      </c>
      <c r="L13" s="52">
        <v>147.22499999999999</v>
      </c>
      <c r="M13" s="52">
        <v>4849</v>
      </c>
      <c r="N13" s="52">
        <v>363.67500000000001</v>
      </c>
    </row>
    <row r="14" spans="1:16" ht="13" outlineLevel="1" x14ac:dyDescent="0.3">
      <c r="F14" s="51" t="s">
        <v>237</v>
      </c>
      <c r="G14" s="52"/>
      <c r="H14" s="52">
        <v>0</v>
      </c>
      <c r="I14" s="52">
        <v>11385</v>
      </c>
      <c r="J14" s="52">
        <v>853.875</v>
      </c>
      <c r="K14" s="52">
        <v>4500</v>
      </c>
      <c r="L14" s="52">
        <v>337.5</v>
      </c>
      <c r="M14" s="52">
        <v>15885</v>
      </c>
      <c r="N14" s="52">
        <v>1191.375</v>
      </c>
    </row>
    <row r="15" spans="1:16" ht="13" outlineLevel="1" x14ac:dyDescent="0.3">
      <c r="F15" s="51" t="s">
        <v>238</v>
      </c>
      <c r="G15" s="52"/>
      <c r="H15" s="52">
        <v>0</v>
      </c>
      <c r="I15" s="52">
        <v>1749</v>
      </c>
      <c r="J15" s="52">
        <v>131.17499999999998</v>
      </c>
      <c r="K15" s="52">
        <v>1275</v>
      </c>
      <c r="L15" s="52">
        <v>95.625</v>
      </c>
      <c r="M15" s="52">
        <v>3024</v>
      </c>
      <c r="N15" s="52">
        <v>226.79999999999998</v>
      </c>
      <c r="P15"/>
    </row>
    <row r="16" spans="1:16" ht="13" outlineLevel="1" x14ac:dyDescent="0.3">
      <c r="F16" s="51" t="s">
        <v>239</v>
      </c>
      <c r="G16" s="52"/>
      <c r="H16" s="52">
        <v>0</v>
      </c>
      <c r="I16" s="52">
        <v>3487.2599999999998</v>
      </c>
      <c r="J16" s="52">
        <v>261.54449999999997</v>
      </c>
      <c r="K16" s="52">
        <v>1484.2800000000002</v>
      </c>
      <c r="L16" s="52">
        <v>111.32100000000001</v>
      </c>
      <c r="M16" s="52">
        <v>4971.54</v>
      </c>
      <c r="N16" s="52">
        <v>372.8655</v>
      </c>
      <c r="P16"/>
    </row>
    <row r="17" spans="2:16" ht="13" outlineLevel="1" x14ac:dyDescent="0.3">
      <c r="F17" s="51" t="s">
        <v>240</v>
      </c>
      <c r="G17" s="52">
        <v>1849.5</v>
      </c>
      <c r="H17" s="52">
        <v>138.71250000000001</v>
      </c>
      <c r="I17" s="52">
        <v>549</v>
      </c>
      <c r="J17" s="52">
        <v>41.174999999999997</v>
      </c>
      <c r="K17" s="52">
        <v>3708</v>
      </c>
      <c r="L17" s="52">
        <v>278.09999999999997</v>
      </c>
      <c r="M17" s="52">
        <v>6106.5</v>
      </c>
      <c r="N17" s="52">
        <v>457.98750000000001</v>
      </c>
      <c r="P17"/>
    </row>
    <row r="18" spans="2:16" ht="13" outlineLevel="1" x14ac:dyDescent="0.3">
      <c r="F18" s="51" t="s">
        <v>241</v>
      </c>
      <c r="G18" s="52"/>
      <c r="H18" s="52">
        <v>0</v>
      </c>
      <c r="I18" s="52">
        <v>1527.5</v>
      </c>
      <c r="J18" s="52">
        <v>114.5625</v>
      </c>
      <c r="K18" s="52">
        <v>1118</v>
      </c>
      <c r="L18" s="52">
        <v>83.85</v>
      </c>
      <c r="M18" s="52">
        <v>2645.5</v>
      </c>
      <c r="N18" s="52">
        <v>198.41249999999999</v>
      </c>
      <c r="P18"/>
    </row>
    <row r="19" spans="2:16" ht="13" outlineLevel="1" x14ac:dyDescent="0.3">
      <c r="F19" s="51" t="s">
        <v>242</v>
      </c>
      <c r="G19" s="52">
        <v>1408.59</v>
      </c>
      <c r="H19" s="52">
        <v>105.64424999999999</v>
      </c>
      <c r="I19" s="52">
        <v>2847.15</v>
      </c>
      <c r="J19" s="52">
        <v>213.53625</v>
      </c>
      <c r="K19" s="52">
        <v>5054.9399999999996</v>
      </c>
      <c r="L19" s="52">
        <v>379.12049999999994</v>
      </c>
      <c r="M19" s="52">
        <v>9310.68</v>
      </c>
      <c r="N19" s="52">
        <v>698.30100000000004</v>
      </c>
      <c r="P19"/>
    </row>
    <row r="20" spans="2:16" ht="13" outlineLevel="1" x14ac:dyDescent="0.3">
      <c r="F20" s="51" t="s">
        <v>243</v>
      </c>
      <c r="G20" s="52"/>
      <c r="H20" s="52">
        <v>0</v>
      </c>
      <c r="I20" s="52">
        <v>382.5</v>
      </c>
      <c r="J20" s="52">
        <v>28.6875</v>
      </c>
      <c r="K20" s="52">
        <v>2659.5</v>
      </c>
      <c r="L20" s="52">
        <v>199.46250000000001</v>
      </c>
      <c r="M20" s="52">
        <v>3042</v>
      </c>
      <c r="N20" s="52">
        <v>228.15</v>
      </c>
      <c r="P20"/>
    </row>
    <row r="21" spans="2:16" ht="13" outlineLevel="1" x14ac:dyDescent="0.3">
      <c r="F21" s="51" t="s">
        <v>244</v>
      </c>
      <c r="G21" s="52">
        <v>594.15</v>
      </c>
      <c r="H21" s="52">
        <v>44.561249999999994</v>
      </c>
      <c r="I21" s="52">
        <v>3767.6099999999997</v>
      </c>
      <c r="J21" s="52">
        <v>282.57074999999998</v>
      </c>
      <c r="K21" s="52">
        <v>2705.13</v>
      </c>
      <c r="L21" s="52">
        <v>202.88475</v>
      </c>
      <c r="M21" s="52">
        <v>7066.8899999999994</v>
      </c>
      <c r="N21" s="52">
        <v>530.01675</v>
      </c>
      <c r="P21"/>
    </row>
    <row r="22" spans="2:16" ht="13" outlineLevel="1" x14ac:dyDescent="0.3">
      <c r="F22" s="51" t="s">
        <v>245</v>
      </c>
      <c r="G22" s="52">
        <v>5292.5</v>
      </c>
      <c r="H22" s="52">
        <v>396.9375</v>
      </c>
      <c r="I22" s="52">
        <v>8410</v>
      </c>
      <c r="J22" s="52">
        <v>630.75</v>
      </c>
      <c r="K22" s="52">
        <v>7235.5</v>
      </c>
      <c r="L22" s="52">
        <v>542.66250000000002</v>
      </c>
      <c r="M22" s="52">
        <v>20938</v>
      </c>
      <c r="N22" s="52">
        <v>1570.35</v>
      </c>
      <c r="P22"/>
    </row>
    <row r="23" spans="2:16" ht="13" outlineLevel="1" x14ac:dyDescent="0.3">
      <c r="F23" s="51" t="s">
        <v>232</v>
      </c>
      <c r="G23" s="52">
        <v>10356.24</v>
      </c>
      <c r="H23" s="52">
        <v>776.71799999999996</v>
      </c>
      <c r="I23" s="52">
        <v>37801.520000000004</v>
      </c>
      <c r="J23" s="52">
        <v>2835.114</v>
      </c>
      <c r="K23" s="52">
        <v>34385.35</v>
      </c>
      <c r="L23" s="52">
        <v>2578.9012500000003</v>
      </c>
      <c r="M23" s="52">
        <v>82543.11</v>
      </c>
      <c r="N23" s="52">
        <v>6190.7332500000002</v>
      </c>
      <c r="P23"/>
    </row>
    <row r="24" spans="2:16" ht="13" outlineLevel="1" x14ac:dyDescent="0.3">
      <c r="P24"/>
    </row>
    <row r="25" spans="2:16" ht="13" outlineLevel="1" x14ac:dyDescent="0.3">
      <c r="P25"/>
    </row>
    <row r="26" spans="2:16" ht="18.5" x14ac:dyDescent="0.45">
      <c r="B26" s="5" t="s">
        <v>308</v>
      </c>
      <c r="P26"/>
    </row>
    <row r="27" spans="2:16" ht="13" outlineLevel="1" x14ac:dyDescent="0.3">
      <c r="F27" s="46" t="s">
        <v>309</v>
      </c>
      <c r="G27"/>
      <c r="P27"/>
    </row>
    <row r="28" spans="2:16" ht="13" outlineLevel="1" x14ac:dyDescent="0.3">
      <c r="B28"/>
      <c r="C28"/>
      <c r="D28"/>
      <c r="E28"/>
      <c r="F28"/>
      <c r="G28" s="50" t="s">
        <v>254</v>
      </c>
      <c r="H28"/>
      <c r="I28"/>
      <c r="J28"/>
      <c r="K28"/>
      <c r="L28"/>
      <c r="M28"/>
      <c r="N28"/>
      <c r="P28"/>
    </row>
    <row r="29" spans="2:16" ht="13" outlineLevel="1" x14ac:dyDescent="0.3">
      <c r="B29"/>
      <c r="C29"/>
      <c r="D29"/>
      <c r="E29"/>
      <c r="F29"/>
      <c r="G29" t="s">
        <v>22</v>
      </c>
      <c r="H29"/>
      <c r="I29" t="s">
        <v>19</v>
      </c>
      <c r="J29"/>
      <c r="K29" t="s">
        <v>25</v>
      </c>
      <c r="L29"/>
      <c r="M29"/>
      <c r="N29"/>
      <c r="P29"/>
    </row>
    <row r="30" spans="2:16" ht="13" outlineLevel="1" x14ac:dyDescent="0.3">
      <c r="B30"/>
      <c r="C30"/>
      <c r="D30"/>
      <c r="E30"/>
      <c r="F30" s="50" t="s">
        <v>8</v>
      </c>
      <c r="G30" t="s">
        <v>234</v>
      </c>
      <c r="H30" t="s">
        <v>253</v>
      </c>
      <c r="I30" t="s">
        <v>234</v>
      </c>
      <c r="J30" t="s">
        <v>253</v>
      </c>
      <c r="K30" t="s">
        <v>234</v>
      </c>
      <c r="L30" t="s">
        <v>253</v>
      </c>
      <c r="M30"/>
      <c r="N30"/>
      <c r="P30"/>
    </row>
    <row r="31" spans="2:16" ht="13" outlineLevel="1" x14ac:dyDescent="0.3">
      <c r="B31"/>
      <c r="C31"/>
      <c r="D31"/>
      <c r="E31"/>
      <c r="F31" s="51" t="s">
        <v>17</v>
      </c>
      <c r="G31" s="52"/>
      <c r="H31" s="52">
        <v>0</v>
      </c>
      <c r="I31" s="52">
        <v>3016</v>
      </c>
      <c r="J31" s="52">
        <v>1508</v>
      </c>
      <c r="K31" s="52"/>
      <c r="L31" s="52">
        <v>0</v>
      </c>
      <c r="M31"/>
      <c r="N31"/>
      <c r="P31"/>
    </row>
    <row r="32" spans="2:16" ht="13" outlineLevel="1" x14ac:dyDescent="0.3">
      <c r="B32"/>
      <c r="C32"/>
      <c r="D32"/>
      <c r="E32"/>
      <c r="F32" s="51" t="s">
        <v>21</v>
      </c>
      <c r="G32" s="52">
        <v>2856.5</v>
      </c>
      <c r="H32" s="52">
        <v>1428.25</v>
      </c>
      <c r="I32" s="52"/>
      <c r="J32" s="52">
        <v>0</v>
      </c>
      <c r="K32" s="52"/>
      <c r="L32" s="52">
        <v>0</v>
      </c>
      <c r="M32"/>
      <c r="N32"/>
      <c r="P32"/>
    </row>
    <row r="33" spans="2:17" ht="13" outlineLevel="1" x14ac:dyDescent="0.3">
      <c r="B33"/>
      <c r="C33"/>
      <c r="D33"/>
      <c r="E33"/>
      <c r="F33" s="51" t="s">
        <v>27</v>
      </c>
      <c r="G33" s="52">
        <v>2436</v>
      </c>
      <c r="H33" s="52">
        <v>1218</v>
      </c>
      <c r="I33" s="52">
        <v>409.59000000000003</v>
      </c>
      <c r="J33" s="52">
        <v>204.79500000000002</v>
      </c>
      <c r="K33" s="52"/>
      <c r="L33" s="52">
        <v>0</v>
      </c>
      <c r="M33"/>
      <c r="N33"/>
      <c r="P33"/>
    </row>
    <row r="34" spans="2:17" ht="13" outlineLevel="1" x14ac:dyDescent="0.3">
      <c r="B34"/>
      <c r="C34"/>
      <c r="D34"/>
      <c r="E34"/>
      <c r="F34" s="51" t="s">
        <v>35</v>
      </c>
      <c r="G34" s="52"/>
      <c r="H34" s="52">
        <v>0</v>
      </c>
      <c r="I34" s="52">
        <v>209.70000000000002</v>
      </c>
      <c r="J34" s="52">
        <v>104.85000000000001</v>
      </c>
      <c r="K34" s="52">
        <v>2418.5699999999997</v>
      </c>
      <c r="L34" s="52">
        <v>1209.2849999999999</v>
      </c>
      <c r="M34"/>
      <c r="N34"/>
      <c r="P34"/>
    </row>
    <row r="35" spans="2:17" ht="13" outlineLevel="1" x14ac:dyDescent="0.3">
      <c r="B35"/>
      <c r="C35"/>
      <c r="D35"/>
      <c r="E35"/>
      <c r="F35" s="51" t="s">
        <v>24</v>
      </c>
      <c r="G35" s="52"/>
      <c r="H35" s="52">
        <v>0</v>
      </c>
      <c r="I35" s="52"/>
      <c r="J35" s="52">
        <v>0</v>
      </c>
      <c r="K35" s="52">
        <v>2552</v>
      </c>
      <c r="L35" s="52">
        <v>1276</v>
      </c>
      <c r="M35"/>
      <c r="N35"/>
      <c r="P35"/>
    </row>
    <row r="36" spans="2:17" ht="13" outlineLevel="1" x14ac:dyDescent="0.3">
      <c r="B36"/>
      <c r="C36"/>
      <c r="D36"/>
      <c r="E36"/>
      <c r="F36" s="51" t="s">
        <v>29</v>
      </c>
      <c r="G36" s="52"/>
      <c r="H36" s="52">
        <v>0</v>
      </c>
      <c r="I36" s="52"/>
      <c r="J36" s="52">
        <v>0</v>
      </c>
      <c r="K36" s="52">
        <v>2407</v>
      </c>
      <c r="L36" s="52">
        <v>1203.5</v>
      </c>
      <c r="M36"/>
      <c r="N36"/>
      <c r="P36"/>
    </row>
    <row r="37" spans="2:17" ht="13" outlineLevel="1" x14ac:dyDescent="0.3">
      <c r="B37"/>
      <c r="C37"/>
      <c r="D37"/>
      <c r="E37"/>
      <c r="F37" s="51" t="s">
        <v>31</v>
      </c>
      <c r="G37" s="52"/>
      <c r="H37" s="52">
        <v>0</v>
      </c>
      <c r="I37" s="52">
        <v>2276.5</v>
      </c>
      <c r="J37" s="52">
        <v>1138.25</v>
      </c>
      <c r="K37" s="52"/>
      <c r="L37" s="52">
        <v>0</v>
      </c>
      <c r="M37"/>
      <c r="N37"/>
      <c r="P37"/>
    </row>
    <row r="38" spans="2:17" ht="13" outlineLevel="1" x14ac:dyDescent="0.3">
      <c r="B38"/>
      <c r="C38"/>
      <c r="D38"/>
      <c r="E38"/>
      <c r="F38" s="51" t="s">
        <v>80</v>
      </c>
      <c r="G38" s="52"/>
      <c r="H38" s="52">
        <v>0</v>
      </c>
      <c r="I38" s="52">
        <v>1157</v>
      </c>
      <c r="J38" s="52">
        <v>578.5</v>
      </c>
      <c r="K38" s="52">
        <v>949.05000000000007</v>
      </c>
      <c r="L38" s="52">
        <v>474.52500000000003</v>
      </c>
      <c r="M38"/>
      <c r="N38"/>
      <c r="P38"/>
    </row>
    <row r="39" spans="2:17" ht="13" outlineLevel="1" x14ac:dyDescent="0.3">
      <c r="B39"/>
      <c r="C39"/>
      <c r="D39"/>
      <c r="E39"/>
      <c r="F39" s="51" t="s">
        <v>33</v>
      </c>
      <c r="G39" s="52"/>
      <c r="H39" s="52">
        <v>0</v>
      </c>
      <c r="I39" s="52">
        <v>2059</v>
      </c>
      <c r="J39" s="52">
        <v>1029.5</v>
      </c>
      <c r="K39" s="52"/>
      <c r="L39" s="52">
        <v>0</v>
      </c>
      <c r="M39"/>
      <c r="N39"/>
    </row>
    <row r="40" spans="2:17" ht="13" outlineLevel="1" x14ac:dyDescent="0.3">
      <c r="B40"/>
      <c r="C40"/>
      <c r="D40"/>
      <c r="E40"/>
      <c r="F40" s="51" t="s">
        <v>38</v>
      </c>
      <c r="G40" s="52"/>
      <c r="H40" s="52">
        <v>0</v>
      </c>
      <c r="I40" s="52">
        <v>1845</v>
      </c>
      <c r="J40" s="52">
        <v>922.5</v>
      </c>
      <c r="K40" s="52"/>
      <c r="L40" s="52">
        <v>0</v>
      </c>
      <c r="M40"/>
      <c r="N40"/>
    </row>
    <row r="41" spans="2:17" ht="13" outlineLevel="1" x14ac:dyDescent="0.3">
      <c r="B41"/>
      <c r="C41"/>
      <c r="D41"/>
      <c r="E41"/>
      <c r="F41" s="51" t="s">
        <v>41</v>
      </c>
      <c r="G41" s="52"/>
      <c r="H41" s="52">
        <v>0</v>
      </c>
      <c r="I41" s="52"/>
      <c r="J41" s="52">
        <v>0</v>
      </c>
      <c r="K41" s="52">
        <v>1791</v>
      </c>
      <c r="L41" s="52">
        <v>895.5</v>
      </c>
      <c r="M41"/>
      <c r="N41"/>
      <c r="Q41"/>
    </row>
    <row r="42" spans="2:17" ht="13" outlineLevel="1" x14ac:dyDescent="0.3">
      <c r="B42"/>
      <c r="C42"/>
      <c r="D42"/>
      <c r="E42"/>
      <c r="F42" s="51" t="s">
        <v>43</v>
      </c>
      <c r="G42" s="52"/>
      <c r="H42" s="52">
        <v>0</v>
      </c>
      <c r="I42" s="52">
        <v>1692</v>
      </c>
      <c r="J42" s="52">
        <v>846</v>
      </c>
      <c r="K42" s="52"/>
      <c r="L42" s="52">
        <v>0</v>
      </c>
      <c r="M42"/>
      <c r="N42"/>
      <c r="Q42"/>
    </row>
    <row r="43" spans="2:17" ht="13" outlineLevel="1" x14ac:dyDescent="0.3">
      <c r="B43"/>
      <c r="C43"/>
      <c r="D43"/>
      <c r="E43"/>
      <c r="F43" s="51" t="s">
        <v>45</v>
      </c>
      <c r="G43" s="52"/>
      <c r="H43" s="52">
        <v>0</v>
      </c>
      <c r="I43" s="52">
        <v>1692</v>
      </c>
      <c r="J43" s="52">
        <v>846</v>
      </c>
      <c r="K43" s="52"/>
      <c r="L43" s="52">
        <v>0</v>
      </c>
      <c r="M43"/>
      <c r="N43"/>
      <c r="P43"/>
      <c r="Q43"/>
    </row>
    <row r="44" spans="2:17" ht="13" outlineLevel="1" x14ac:dyDescent="0.3">
      <c r="B44"/>
      <c r="C44"/>
      <c r="D44"/>
      <c r="E44"/>
      <c r="F44" s="51" t="s">
        <v>47</v>
      </c>
      <c r="G44" s="52"/>
      <c r="H44" s="52">
        <v>0</v>
      </c>
      <c r="I44" s="52">
        <v>1668.33</v>
      </c>
      <c r="J44" s="52">
        <v>834.16499999999996</v>
      </c>
      <c r="K44" s="52"/>
      <c r="L44" s="52">
        <v>0</v>
      </c>
      <c r="M44"/>
      <c r="N44"/>
      <c r="P44"/>
      <c r="Q44"/>
    </row>
    <row r="45" spans="2:17" ht="13" outlineLevel="1" x14ac:dyDescent="0.3">
      <c r="B45"/>
      <c r="C45"/>
      <c r="D45"/>
      <c r="E45"/>
      <c r="F45" s="51" t="s">
        <v>49</v>
      </c>
      <c r="G45" s="52"/>
      <c r="H45" s="52">
        <v>0</v>
      </c>
      <c r="I45" s="52"/>
      <c r="J45" s="52">
        <v>0</v>
      </c>
      <c r="K45" s="52">
        <v>1628.3700000000001</v>
      </c>
      <c r="L45" s="52">
        <v>814.18500000000006</v>
      </c>
      <c r="M45"/>
      <c r="N45"/>
      <c r="P45"/>
      <c r="Q45"/>
    </row>
    <row r="46" spans="2:17" ht="13" outlineLevel="1" x14ac:dyDescent="0.3">
      <c r="B46"/>
      <c r="F46" s="51" t="s">
        <v>51</v>
      </c>
      <c r="G46" s="52"/>
      <c r="H46" s="52">
        <v>0</v>
      </c>
      <c r="I46" s="52">
        <v>1530</v>
      </c>
      <c r="J46" s="52">
        <v>765</v>
      </c>
      <c r="K46" s="52"/>
      <c r="L46" s="52">
        <v>0</v>
      </c>
      <c r="M46"/>
      <c r="N46"/>
      <c r="P46"/>
      <c r="Q46"/>
    </row>
    <row r="47" spans="2:17" ht="13" outlineLevel="1" x14ac:dyDescent="0.3">
      <c r="B47"/>
      <c r="F47" s="51" t="s">
        <v>53</v>
      </c>
      <c r="G47" s="52"/>
      <c r="H47" s="52">
        <v>0</v>
      </c>
      <c r="I47" s="52"/>
      <c r="J47" s="52">
        <v>0</v>
      </c>
      <c r="K47" s="52">
        <v>1479</v>
      </c>
      <c r="L47" s="52">
        <v>739.5</v>
      </c>
      <c r="M47"/>
      <c r="N47"/>
      <c r="P47"/>
      <c r="Q47"/>
    </row>
    <row r="48" spans="2:17" ht="13" outlineLevel="1" x14ac:dyDescent="0.3">
      <c r="B48"/>
      <c r="F48" s="51" t="s">
        <v>55</v>
      </c>
      <c r="G48" s="52"/>
      <c r="H48" s="52">
        <v>0</v>
      </c>
      <c r="I48" s="52"/>
      <c r="J48" s="52">
        <v>0</v>
      </c>
      <c r="K48" s="52">
        <v>1440</v>
      </c>
      <c r="L48" s="52">
        <v>720</v>
      </c>
      <c r="M48"/>
      <c r="N48"/>
      <c r="P48"/>
      <c r="Q48"/>
    </row>
    <row r="49" spans="2:17" ht="13" outlineLevel="1" x14ac:dyDescent="0.3">
      <c r="B49"/>
      <c r="F49" s="51" t="s">
        <v>57</v>
      </c>
      <c r="G49" s="52"/>
      <c r="H49" s="52">
        <v>0</v>
      </c>
      <c r="I49" s="52">
        <v>1425.96</v>
      </c>
      <c r="J49" s="52">
        <v>712.98</v>
      </c>
      <c r="K49" s="52"/>
      <c r="L49" s="52">
        <v>0</v>
      </c>
      <c r="M49"/>
      <c r="N49"/>
      <c r="P49"/>
      <c r="Q49"/>
    </row>
    <row r="50" spans="2:17" ht="13" outlineLevel="1" x14ac:dyDescent="0.3">
      <c r="B50"/>
      <c r="C50"/>
      <c r="D50"/>
      <c r="E50"/>
      <c r="F50" s="51" t="s">
        <v>60</v>
      </c>
      <c r="G50" s="52">
        <v>1408.59</v>
      </c>
      <c r="H50" s="52">
        <v>704.29499999999996</v>
      </c>
      <c r="I50" s="52"/>
      <c r="J50" s="52">
        <v>0</v>
      </c>
      <c r="K50" s="52"/>
      <c r="L50" s="52">
        <v>0</v>
      </c>
      <c r="M50"/>
      <c r="N50"/>
      <c r="P50"/>
      <c r="Q50"/>
    </row>
    <row r="51" spans="2:17" ht="13" outlineLevel="1" x14ac:dyDescent="0.3">
      <c r="B51"/>
      <c r="C51"/>
      <c r="D51"/>
      <c r="E51"/>
      <c r="F51" s="51" t="s">
        <v>87</v>
      </c>
      <c r="G51" s="52">
        <v>882</v>
      </c>
      <c r="H51" s="52">
        <v>441</v>
      </c>
      <c r="I51" s="52">
        <v>477</v>
      </c>
      <c r="J51" s="52">
        <v>238.5</v>
      </c>
      <c r="K51" s="52"/>
      <c r="L51" s="52">
        <v>0</v>
      </c>
      <c r="M51"/>
      <c r="N51"/>
      <c r="P51"/>
      <c r="Q51"/>
    </row>
    <row r="52" spans="2:17" ht="13" outlineLevel="1" x14ac:dyDescent="0.3">
      <c r="B52"/>
      <c r="C52"/>
      <c r="D52"/>
      <c r="E52"/>
      <c r="F52" s="51" t="s">
        <v>62</v>
      </c>
      <c r="G52" s="52"/>
      <c r="H52" s="52">
        <v>0</v>
      </c>
      <c r="I52" s="52">
        <v>1323</v>
      </c>
      <c r="J52" s="52">
        <v>661.5</v>
      </c>
      <c r="K52" s="52"/>
      <c r="L52" s="52">
        <v>0</v>
      </c>
      <c r="M52"/>
      <c r="N52"/>
      <c r="P52"/>
      <c r="Q52"/>
    </row>
    <row r="53" spans="2:17" ht="13" outlineLevel="1" x14ac:dyDescent="0.3">
      <c r="B53"/>
      <c r="C53"/>
      <c r="D53"/>
      <c r="E53"/>
      <c r="F53" s="51" t="s">
        <v>73</v>
      </c>
      <c r="G53" s="52"/>
      <c r="H53" s="52">
        <v>0</v>
      </c>
      <c r="I53" s="52"/>
      <c r="J53" s="52">
        <v>0</v>
      </c>
      <c r="K53" s="52">
        <v>1293</v>
      </c>
      <c r="L53" s="52">
        <v>646.5</v>
      </c>
      <c r="M53"/>
      <c r="N53"/>
      <c r="P53"/>
      <c r="Q53"/>
    </row>
    <row r="54" spans="2:17" ht="13" outlineLevel="1" x14ac:dyDescent="0.3">
      <c r="B54"/>
      <c r="C54"/>
      <c r="D54"/>
      <c r="E54"/>
      <c r="F54" s="51" t="s">
        <v>64</v>
      </c>
      <c r="G54" s="52"/>
      <c r="H54" s="52">
        <v>0</v>
      </c>
      <c r="I54" s="52">
        <v>1286.1600000000001</v>
      </c>
      <c r="J54" s="52">
        <v>643.08000000000004</v>
      </c>
      <c r="K54" s="52"/>
      <c r="L54" s="52">
        <v>0</v>
      </c>
      <c r="M54"/>
      <c r="N54"/>
      <c r="P54"/>
      <c r="Q54"/>
    </row>
    <row r="55" spans="2:17" ht="13" outlineLevel="1" x14ac:dyDescent="0.3">
      <c r="B55"/>
      <c r="C55"/>
      <c r="D55"/>
      <c r="E55"/>
      <c r="F55" s="51" t="s">
        <v>66</v>
      </c>
      <c r="G55" s="52"/>
      <c r="H55" s="52">
        <v>0</v>
      </c>
      <c r="I55" s="52"/>
      <c r="J55" s="52">
        <v>0</v>
      </c>
      <c r="K55" s="52">
        <v>1269</v>
      </c>
      <c r="L55" s="52">
        <v>634.5</v>
      </c>
      <c r="M55"/>
      <c r="N55"/>
      <c r="P55"/>
      <c r="Q55"/>
    </row>
    <row r="56" spans="2:17" ht="13" outlineLevel="1" x14ac:dyDescent="0.3">
      <c r="B56"/>
      <c r="C56"/>
      <c r="D56"/>
      <c r="E56"/>
      <c r="F56" s="51" t="s">
        <v>68</v>
      </c>
      <c r="G56" s="52"/>
      <c r="H56" s="52">
        <v>0</v>
      </c>
      <c r="I56" s="52">
        <v>1215</v>
      </c>
      <c r="J56" s="52">
        <v>607.5</v>
      </c>
      <c r="K56" s="52"/>
      <c r="L56" s="52">
        <v>0</v>
      </c>
      <c r="M56"/>
      <c r="N56"/>
      <c r="P56"/>
      <c r="Q56"/>
    </row>
    <row r="57" spans="2:17" ht="13" outlineLevel="1" x14ac:dyDescent="0.3">
      <c r="B57"/>
      <c r="C57"/>
      <c r="D57"/>
      <c r="E57"/>
      <c r="F57" s="51" t="s">
        <v>70</v>
      </c>
      <c r="G57" s="52"/>
      <c r="H57" s="52">
        <v>0</v>
      </c>
      <c r="I57" s="52"/>
      <c r="J57" s="52">
        <v>0</v>
      </c>
      <c r="K57" s="52">
        <v>1144</v>
      </c>
      <c r="L57" s="52">
        <v>572</v>
      </c>
      <c r="M57"/>
      <c r="N57"/>
      <c r="P57"/>
      <c r="Q57"/>
    </row>
    <row r="58" spans="2:17" ht="13" outlineLevel="1" x14ac:dyDescent="0.3">
      <c r="B58"/>
      <c r="C58"/>
      <c r="D58"/>
      <c r="E58"/>
      <c r="F58" s="51" t="s">
        <v>76</v>
      </c>
      <c r="G58" s="52"/>
      <c r="H58" s="52">
        <v>0</v>
      </c>
      <c r="I58" s="52">
        <v>1058.5</v>
      </c>
      <c r="J58" s="52">
        <v>529.25</v>
      </c>
      <c r="K58" s="52"/>
      <c r="L58" s="52">
        <v>0</v>
      </c>
      <c r="M58"/>
      <c r="N58"/>
      <c r="P58"/>
      <c r="Q58"/>
    </row>
    <row r="59" spans="2:17" ht="13" outlineLevel="1" x14ac:dyDescent="0.3">
      <c r="B59"/>
      <c r="C59"/>
      <c r="D59"/>
      <c r="E59"/>
      <c r="F59" s="51" t="s">
        <v>78</v>
      </c>
      <c r="G59" s="52"/>
      <c r="H59" s="52">
        <v>0</v>
      </c>
      <c r="I59" s="52">
        <v>1044</v>
      </c>
      <c r="J59" s="52">
        <v>522</v>
      </c>
      <c r="K59" s="52"/>
      <c r="L59" s="52">
        <v>0</v>
      </c>
      <c r="M59"/>
      <c r="N59"/>
      <c r="P59"/>
      <c r="Q59"/>
    </row>
    <row r="60" spans="2:17" ht="13" outlineLevel="1" x14ac:dyDescent="0.3">
      <c r="B60"/>
      <c r="C60"/>
      <c r="D60"/>
      <c r="E60"/>
      <c r="F60" s="51" t="s">
        <v>117</v>
      </c>
      <c r="G60" s="52"/>
      <c r="H60" s="52">
        <v>0</v>
      </c>
      <c r="I60" s="52">
        <v>1037.08</v>
      </c>
      <c r="J60" s="52">
        <v>518.54</v>
      </c>
      <c r="K60" s="52"/>
      <c r="L60" s="52">
        <v>0</v>
      </c>
      <c r="M60"/>
      <c r="N60"/>
      <c r="P60"/>
      <c r="Q60"/>
    </row>
    <row r="61" spans="2:17" ht="13" outlineLevel="1" x14ac:dyDescent="0.3">
      <c r="B61"/>
      <c r="C61"/>
      <c r="D61"/>
      <c r="E61"/>
      <c r="F61" s="51" t="s">
        <v>131</v>
      </c>
      <c r="G61" s="52">
        <v>594.15</v>
      </c>
      <c r="H61" s="52">
        <v>297.07499999999999</v>
      </c>
      <c r="I61" s="52"/>
      <c r="J61" s="52">
        <v>0</v>
      </c>
      <c r="K61" s="52">
        <v>414.96000000000004</v>
      </c>
      <c r="L61" s="52">
        <v>207.48000000000002</v>
      </c>
      <c r="M61"/>
      <c r="N61"/>
      <c r="P61"/>
      <c r="Q61"/>
    </row>
    <row r="62" spans="2:17" ht="13" outlineLevel="1" x14ac:dyDescent="0.3">
      <c r="B62"/>
      <c r="C62"/>
      <c r="D62"/>
      <c r="E62"/>
      <c r="F62" s="51" t="s">
        <v>85</v>
      </c>
      <c r="G62" s="52">
        <v>913.5</v>
      </c>
      <c r="H62" s="52">
        <v>456.75</v>
      </c>
      <c r="I62" s="52"/>
      <c r="J62" s="52">
        <v>0</v>
      </c>
      <c r="K62" s="52">
        <v>60</v>
      </c>
      <c r="L62" s="52">
        <v>30</v>
      </c>
      <c r="M62"/>
      <c r="N62"/>
      <c r="P62"/>
      <c r="Q62"/>
    </row>
    <row r="63" spans="2:17" ht="13" outlineLevel="1" x14ac:dyDescent="0.3">
      <c r="B63"/>
      <c r="C63"/>
      <c r="D63"/>
      <c r="E63"/>
      <c r="F63" s="51" t="s">
        <v>82</v>
      </c>
      <c r="G63" s="52"/>
      <c r="H63" s="52">
        <v>0</v>
      </c>
      <c r="I63" s="52"/>
      <c r="J63" s="52">
        <v>0</v>
      </c>
      <c r="K63" s="52">
        <v>913.5</v>
      </c>
      <c r="L63" s="52">
        <v>456.75</v>
      </c>
      <c r="M63"/>
      <c r="N63"/>
      <c r="P63"/>
      <c r="Q63"/>
    </row>
    <row r="64" spans="2:17" ht="13" outlineLevel="1" x14ac:dyDescent="0.3">
      <c r="B64"/>
      <c r="C64"/>
      <c r="D64"/>
      <c r="E64"/>
      <c r="F64" s="51" t="s">
        <v>133</v>
      </c>
      <c r="G64" s="52"/>
      <c r="H64" s="52">
        <v>0</v>
      </c>
      <c r="I64" s="52">
        <v>866.66</v>
      </c>
      <c r="J64" s="52">
        <v>433.33</v>
      </c>
      <c r="K64" s="52">
        <v>40.5</v>
      </c>
      <c r="L64" s="52">
        <v>20.25</v>
      </c>
      <c r="M64"/>
      <c r="N64"/>
      <c r="P64"/>
      <c r="Q64"/>
    </row>
    <row r="65" spans="2:17" ht="13" outlineLevel="1" x14ac:dyDescent="0.3">
      <c r="B65"/>
      <c r="C65"/>
      <c r="D65"/>
      <c r="E65"/>
      <c r="F65" s="51" t="s">
        <v>89</v>
      </c>
      <c r="G65" s="52"/>
      <c r="H65" s="52">
        <v>0</v>
      </c>
      <c r="I65" s="52"/>
      <c r="J65" s="52">
        <v>0</v>
      </c>
      <c r="K65" s="52">
        <v>873.75</v>
      </c>
      <c r="L65" s="52">
        <v>436.875</v>
      </c>
      <c r="M65"/>
      <c r="N65"/>
      <c r="P65"/>
      <c r="Q65"/>
    </row>
    <row r="66" spans="2:17" ht="13" outlineLevel="1" x14ac:dyDescent="0.3">
      <c r="B66"/>
      <c r="C66"/>
      <c r="D66"/>
      <c r="E66"/>
      <c r="F66" s="51" t="s">
        <v>91</v>
      </c>
      <c r="G66" s="52"/>
      <c r="H66" s="52">
        <v>0</v>
      </c>
      <c r="I66" s="52"/>
      <c r="J66" s="52">
        <v>0</v>
      </c>
      <c r="K66" s="52">
        <v>850.5</v>
      </c>
      <c r="L66" s="52">
        <v>425.25</v>
      </c>
      <c r="M66"/>
      <c r="N66"/>
      <c r="P66"/>
      <c r="Q66"/>
    </row>
    <row r="67" spans="2:17" ht="13" outlineLevel="1" x14ac:dyDescent="0.3">
      <c r="B67"/>
      <c r="C67"/>
      <c r="D67"/>
      <c r="E67"/>
      <c r="F67" s="51" t="s">
        <v>144</v>
      </c>
      <c r="G67" s="52"/>
      <c r="H67" s="52">
        <v>0</v>
      </c>
      <c r="I67" s="52"/>
      <c r="J67" s="52">
        <v>0</v>
      </c>
      <c r="K67" s="52">
        <v>836.5</v>
      </c>
      <c r="L67" s="52">
        <v>418.25</v>
      </c>
      <c r="M67"/>
      <c r="N67"/>
      <c r="P67"/>
      <c r="Q67"/>
    </row>
    <row r="68" spans="2:17" ht="13" outlineLevel="1" x14ac:dyDescent="0.3">
      <c r="B68"/>
      <c r="C68"/>
      <c r="D68"/>
      <c r="E68"/>
      <c r="F68" s="51" t="s">
        <v>93</v>
      </c>
      <c r="G68" s="52"/>
      <c r="H68" s="52">
        <v>0</v>
      </c>
      <c r="I68" s="52"/>
      <c r="J68" s="52">
        <v>0</v>
      </c>
      <c r="K68" s="52">
        <v>819</v>
      </c>
      <c r="L68" s="52">
        <v>409.5</v>
      </c>
      <c r="M68"/>
      <c r="N68"/>
      <c r="P68"/>
      <c r="Q68"/>
    </row>
    <row r="69" spans="2:17" ht="13" outlineLevel="1" x14ac:dyDescent="0.3">
      <c r="B69"/>
      <c r="C69"/>
      <c r="D69"/>
      <c r="E69"/>
      <c r="F69" s="51" t="s">
        <v>163</v>
      </c>
      <c r="G69" s="52"/>
      <c r="H69" s="52">
        <v>0</v>
      </c>
      <c r="I69" s="52">
        <v>348</v>
      </c>
      <c r="J69" s="52">
        <v>174</v>
      </c>
      <c r="K69" s="52">
        <v>459</v>
      </c>
      <c r="L69" s="52">
        <v>229.5</v>
      </c>
      <c r="M69"/>
      <c r="N69"/>
      <c r="P69"/>
      <c r="Q69"/>
    </row>
    <row r="70" spans="2:17" ht="13" outlineLevel="1" x14ac:dyDescent="0.3">
      <c r="B70"/>
      <c r="C70"/>
      <c r="D70"/>
      <c r="E70"/>
      <c r="F70" s="51" t="s">
        <v>95</v>
      </c>
      <c r="G70" s="52"/>
      <c r="H70" s="52">
        <v>0</v>
      </c>
      <c r="I70" s="52">
        <v>801.99</v>
      </c>
      <c r="J70" s="52">
        <v>400.995</v>
      </c>
      <c r="K70" s="52"/>
      <c r="L70" s="52">
        <v>0</v>
      </c>
      <c r="M70"/>
      <c r="N70"/>
      <c r="P70"/>
      <c r="Q70"/>
    </row>
    <row r="71" spans="2:17" ht="13" outlineLevel="1" x14ac:dyDescent="0.3">
      <c r="B71"/>
      <c r="C71"/>
      <c r="D71"/>
      <c r="E71"/>
      <c r="F71" s="51" t="s">
        <v>98</v>
      </c>
      <c r="G71" s="52"/>
      <c r="H71" s="52">
        <v>0</v>
      </c>
      <c r="I71" s="52"/>
      <c r="J71" s="52">
        <v>0</v>
      </c>
      <c r="K71" s="52">
        <v>801</v>
      </c>
      <c r="L71" s="52">
        <v>400.5</v>
      </c>
      <c r="M71"/>
      <c r="N71"/>
      <c r="P71"/>
      <c r="Q71"/>
    </row>
    <row r="72" spans="2:17" ht="13" outlineLevel="1" x14ac:dyDescent="0.3">
      <c r="B72"/>
      <c r="C72"/>
      <c r="D72"/>
      <c r="E72"/>
      <c r="F72" s="51" t="s">
        <v>100</v>
      </c>
      <c r="G72" s="52"/>
      <c r="H72" s="52">
        <v>0</v>
      </c>
      <c r="I72" s="52"/>
      <c r="J72" s="52">
        <v>0</v>
      </c>
      <c r="K72" s="52">
        <v>754.92000000000007</v>
      </c>
      <c r="L72" s="52">
        <v>377.46000000000004</v>
      </c>
      <c r="M72"/>
      <c r="N72"/>
      <c r="P72"/>
      <c r="Q72"/>
    </row>
    <row r="73" spans="2:17" ht="13" outlineLevel="1" x14ac:dyDescent="0.3">
      <c r="B73"/>
      <c r="C73"/>
      <c r="D73"/>
      <c r="E73"/>
      <c r="F73" s="51" t="s">
        <v>102</v>
      </c>
      <c r="G73" s="52">
        <v>750</v>
      </c>
      <c r="H73" s="52">
        <v>375</v>
      </c>
      <c r="I73" s="52"/>
      <c r="J73" s="52">
        <v>0</v>
      </c>
      <c r="K73" s="52"/>
      <c r="L73" s="52">
        <v>0</v>
      </c>
      <c r="M73"/>
      <c r="N73"/>
      <c r="P73"/>
      <c r="Q73"/>
    </row>
    <row r="74" spans="2:17" ht="13" outlineLevel="1" x14ac:dyDescent="0.3">
      <c r="B74"/>
      <c r="C74"/>
      <c r="D74"/>
      <c r="E74"/>
      <c r="F74" s="51" t="s">
        <v>104</v>
      </c>
      <c r="G74" s="52"/>
      <c r="H74" s="52">
        <v>0</v>
      </c>
      <c r="I74" s="52"/>
      <c r="J74" s="52">
        <v>0</v>
      </c>
      <c r="K74" s="52">
        <v>742.5</v>
      </c>
      <c r="L74" s="52">
        <v>371.25</v>
      </c>
      <c r="M74"/>
      <c r="N74"/>
      <c r="P74"/>
      <c r="Q74"/>
    </row>
    <row r="75" spans="2:17" ht="13" outlineLevel="1" x14ac:dyDescent="0.3">
      <c r="B75"/>
      <c r="C75"/>
      <c r="D75"/>
      <c r="E75"/>
      <c r="F75" s="51" t="s">
        <v>125</v>
      </c>
      <c r="G75" s="52"/>
      <c r="H75" s="52">
        <v>0</v>
      </c>
      <c r="I75" s="52">
        <v>129.87</v>
      </c>
      <c r="J75" s="52">
        <v>64.935000000000002</v>
      </c>
      <c r="K75" s="52">
        <v>603</v>
      </c>
      <c r="L75" s="52">
        <v>301.5</v>
      </c>
      <c r="M75"/>
      <c r="N75"/>
      <c r="P75"/>
      <c r="Q75"/>
    </row>
    <row r="76" spans="2:17" ht="13" outlineLevel="1" x14ac:dyDescent="0.3">
      <c r="B76"/>
      <c r="C76"/>
      <c r="D76"/>
      <c r="E76"/>
      <c r="F76" s="51" t="s">
        <v>113</v>
      </c>
      <c r="G76" s="52"/>
      <c r="H76" s="52">
        <v>0</v>
      </c>
      <c r="I76" s="52">
        <v>42</v>
      </c>
      <c r="J76" s="52">
        <v>21</v>
      </c>
      <c r="K76" s="52">
        <v>675</v>
      </c>
      <c r="L76" s="52">
        <v>337.5</v>
      </c>
      <c r="M76"/>
      <c r="N76"/>
      <c r="P76"/>
      <c r="Q76"/>
    </row>
    <row r="77" spans="2:17" ht="13" outlineLevel="1" x14ac:dyDescent="0.3">
      <c r="B77"/>
      <c r="C77"/>
      <c r="D77"/>
      <c r="E77"/>
      <c r="F77" s="51" t="s">
        <v>121</v>
      </c>
      <c r="G77" s="52"/>
      <c r="H77" s="52">
        <v>0</v>
      </c>
      <c r="I77" s="52">
        <v>72</v>
      </c>
      <c r="J77" s="52">
        <v>36</v>
      </c>
      <c r="K77" s="52">
        <v>642.45000000000005</v>
      </c>
      <c r="L77" s="52">
        <v>321.22500000000002</v>
      </c>
      <c r="M77"/>
      <c r="N77"/>
      <c r="P77"/>
      <c r="Q77"/>
    </row>
    <row r="78" spans="2:17" ht="13" outlineLevel="1" x14ac:dyDescent="0.3">
      <c r="B78"/>
      <c r="C78"/>
      <c r="D78"/>
      <c r="E78"/>
      <c r="F78" s="51" t="s">
        <v>109</v>
      </c>
      <c r="G78" s="52"/>
      <c r="H78" s="52">
        <v>0</v>
      </c>
      <c r="I78" s="52">
        <v>678.30000000000007</v>
      </c>
      <c r="J78" s="52">
        <v>339.15000000000003</v>
      </c>
      <c r="K78" s="52"/>
      <c r="L78" s="52">
        <v>0</v>
      </c>
      <c r="M78"/>
      <c r="N78"/>
      <c r="P78"/>
      <c r="Q78"/>
    </row>
    <row r="79" spans="2:17" ht="13" outlineLevel="1" x14ac:dyDescent="0.3">
      <c r="B79"/>
      <c r="C79"/>
      <c r="D79"/>
      <c r="E79"/>
      <c r="F79" s="51" t="s">
        <v>111</v>
      </c>
      <c r="G79" s="52"/>
      <c r="H79" s="52">
        <v>0</v>
      </c>
      <c r="I79" s="52"/>
      <c r="J79" s="52">
        <v>0</v>
      </c>
      <c r="K79" s="52">
        <v>678</v>
      </c>
      <c r="L79" s="52">
        <v>339</v>
      </c>
      <c r="M79"/>
      <c r="N79"/>
      <c r="P79"/>
      <c r="Q79"/>
    </row>
    <row r="80" spans="2:17" ht="13" outlineLevel="1" x14ac:dyDescent="0.3">
      <c r="B80"/>
      <c r="C80"/>
      <c r="D80"/>
      <c r="E80"/>
      <c r="F80" s="51" t="s">
        <v>178</v>
      </c>
      <c r="G80" s="52"/>
      <c r="H80" s="52">
        <v>0</v>
      </c>
      <c r="I80" s="52">
        <v>645.63</v>
      </c>
      <c r="J80" s="52">
        <v>322.815</v>
      </c>
      <c r="K80" s="52"/>
      <c r="L80" s="52">
        <v>0</v>
      </c>
      <c r="M80"/>
      <c r="N80"/>
      <c r="P80"/>
      <c r="Q80"/>
    </row>
    <row r="81" spans="2:17" ht="13" outlineLevel="1" x14ac:dyDescent="0.3">
      <c r="B81"/>
      <c r="C81"/>
      <c r="D81"/>
      <c r="E81"/>
      <c r="F81" s="51" t="s">
        <v>115</v>
      </c>
      <c r="G81" s="52"/>
      <c r="H81" s="52">
        <v>0</v>
      </c>
      <c r="I81" s="52">
        <v>621</v>
      </c>
      <c r="J81" s="52">
        <v>310.5</v>
      </c>
      <c r="K81" s="52"/>
      <c r="L81" s="52">
        <v>0</v>
      </c>
      <c r="M81"/>
      <c r="N81"/>
      <c r="P81"/>
      <c r="Q81"/>
    </row>
    <row r="82" spans="2:17" ht="13" outlineLevel="1" x14ac:dyDescent="0.3">
      <c r="B82"/>
      <c r="C82"/>
      <c r="D82"/>
      <c r="E82"/>
      <c r="F82" s="51" t="s">
        <v>119</v>
      </c>
      <c r="G82" s="52"/>
      <c r="H82" s="52">
        <v>0</v>
      </c>
      <c r="I82" s="52"/>
      <c r="J82" s="52">
        <v>0</v>
      </c>
      <c r="K82" s="52">
        <v>617.5</v>
      </c>
      <c r="L82" s="52">
        <v>308.75</v>
      </c>
      <c r="M82"/>
      <c r="N82"/>
      <c r="P82"/>
      <c r="Q82"/>
    </row>
    <row r="83" spans="2:17" ht="13" outlineLevel="1" x14ac:dyDescent="0.3">
      <c r="B83"/>
      <c r="C83"/>
      <c r="D83"/>
      <c r="E83"/>
      <c r="F83" s="51" t="s">
        <v>123</v>
      </c>
      <c r="G83" s="52"/>
      <c r="H83" s="52">
        <v>0</v>
      </c>
      <c r="I83" s="52">
        <v>604.5</v>
      </c>
      <c r="J83" s="52">
        <v>302.25</v>
      </c>
      <c r="K83" s="52"/>
      <c r="L83" s="52">
        <v>0</v>
      </c>
      <c r="M83"/>
      <c r="N83"/>
      <c r="P83"/>
      <c r="Q83"/>
    </row>
    <row r="84" spans="2:17" ht="13" outlineLevel="1" x14ac:dyDescent="0.3">
      <c r="B84"/>
      <c r="C84"/>
      <c r="D84"/>
      <c r="E84"/>
      <c r="F84" s="51" t="s">
        <v>127</v>
      </c>
      <c r="G84" s="52"/>
      <c r="H84" s="52">
        <v>0</v>
      </c>
      <c r="I84" s="52">
        <v>602.49</v>
      </c>
      <c r="J84" s="52">
        <v>301.245</v>
      </c>
      <c r="K84" s="52"/>
      <c r="L84" s="52">
        <v>0</v>
      </c>
      <c r="M84"/>
      <c r="N84"/>
      <c r="P84"/>
      <c r="Q84"/>
    </row>
    <row r="85" spans="2:17" ht="13" outlineLevel="1" x14ac:dyDescent="0.3">
      <c r="B85"/>
      <c r="C85"/>
      <c r="D85"/>
      <c r="E85"/>
      <c r="F85" s="51" t="s">
        <v>129</v>
      </c>
      <c r="G85" s="52"/>
      <c r="H85" s="52">
        <v>0</v>
      </c>
      <c r="I85" s="52"/>
      <c r="J85" s="52">
        <v>0</v>
      </c>
      <c r="K85" s="52">
        <v>600</v>
      </c>
      <c r="L85" s="52">
        <v>300</v>
      </c>
      <c r="M85"/>
      <c r="N85"/>
      <c r="P85"/>
      <c r="Q85"/>
    </row>
    <row r="86" spans="2:17" ht="13" outlineLevel="1" x14ac:dyDescent="0.3">
      <c r="B86"/>
      <c r="C86"/>
      <c r="D86"/>
      <c r="E86"/>
      <c r="F86" s="51" t="s">
        <v>135</v>
      </c>
      <c r="G86" s="52"/>
      <c r="H86" s="52">
        <v>0</v>
      </c>
      <c r="I86" s="52"/>
      <c r="J86" s="52">
        <v>0</v>
      </c>
      <c r="K86" s="52">
        <v>573.18000000000006</v>
      </c>
      <c r="L86" s="52">
        <v>286.59000000000003</v>
      </c>
      <c r="M86"/>
      <c r="N86"/>
      <c r="P86"/>
      <c r="Q86"/>
    </row>
    <row r="87" spans="2:17" ht="13" outlineLevel="1" x14ac:dyDescent="0.3">
      <c r="B87"/>
      <c r="C87"/>
      <c r="D87"/>
      <c r="E87"/>
      <c r="F87" s="51" t="s">
        <v>137</v>
      </c>
      <c r="G87" s="52"/>
      <c r="H87" s="52">
        <v>0</v>
      </c>
      <c r="I87" s="52"/>
      <c r="J87" s="52">
        <v>0</v>
      </c>
      <c r="K87" s="52">
        <v>567</v>
      </c>
      <c r="L87" s="52">
        <v>283.5</v>
      </c>
      <c r="M87"/>
      <c r="N87"/>
      <c r="P87"/>
      <c r="Q87"/>
    </row>
    <row r="88" spans="2:17" ht="13" outlineLevel="1" x14ac:dyDescent="0.3">
      <c r="B88"/>
      <c r="C88"/>
      <c r="D88"/>
      <c r="E88"/>
      <c r="F88" s="51" t="s">
        <v>139</v>
      </c>
      <c r="G88" s="52"/>
      <c r="H88" s="52">
        <v>0</v>
      </c>
      <c r="I88" s="52"/>
      <c r="J88" s="52">
        <v>0</v>
      </c>
      <c r="K88" s="52">
        <v>546.63</v>
      </c>
      <c r="L88" s="52">
        <v>273.315</v>
      </c>
      <c r="M88"/>
      <c r="N88"/>
      <c r="P88"/>
      <c r="Q88"/>
    </row>
    <row r="89" spans="2:17" ht="13" outlineLevel="1" x14ac:dyDescent="0.3">
      <c r="B89"/>
      <c r="C89"/>
      <c r="D89"/>
      <c r="E89"/>
      <c r="F89" s="51" t="s">
        <v>141</v>
      </c>
      <c r="G89" s="52"/>
      <c r="H89" s="52">
        <v>0</v>
      </c>
      <c r="I89" s="52">
        <v>537</v>
      </c>
      <c r="J89" s="52">
        <v>268.5</v>
      </c>
      <c r="K89" s="52"/>
      <c r="L89" s="52">
        <v>0</v>
      </c>
      <c r="M89"/>
      <c r="N89"/>
      <c r="P89"/>
      <c r="Q89"/>
    </row>
    <row r="90" spans="2:17" ht="13" outlineLevel="1" x14ac:dyDescent="0.3">
      <c r="B90"/>
      <c r="C90"/>
      <c r="D90"/>
      <c r="E90"/>
      <c r="F90" s="51" t="s">
        <v>146</v>
      </c>
      <c r="G90" s="52"/>
      <c r="H90" s="52">
        <v>0</v>
      </c>
      <c r="I90" s="52">
        <v>534</v>
      </c>
      <c r="J90" s="52">
        <v>267</v>
      </c>
      <c r="K90" s="52"/>
      <c r="L90" s="52">
        <v>0</v>
      </c>
      <c r="M90"/>
      <c r="N90"/>
      <c r="P90"/>
      <c r="Q90"/>
    </row>
    <row r="91" spans="2:17" ht="13" outlineLevel="1" x14ac:dyDescent="0.3">
      <c r="B91"/>
      <c r="C91"/>
      <c r="D91"/>
      <c r="E91"/>
      <c r="F91" s="51" t="s">
        <v>148</v>
      </c>
      <c r="G91" s="52"/>
      <c r="H91" s="52">
        <v>0</v>
      </c>
      <c r="I91" s="52"/>
      <c r="J91" s="52">
        <v>0</v>
      </c>
      <c r="K91" s="52">
        <v>522.69000000000005</v>
      </c>
      <c r="L91" s="52">
        <v>261.34500000000003</v>
      </c>
      <c r="M91"/>
      <c r="N91"/>
      <c r="P91"/>
      <c r="Q91"/>
    </row>
    <row r="92" spans="2:17" ht="13" outlineLevel="1" x14ac:dyDescent="0.3">
      <c r="B92"/>
      <c r="C92"/>
      <c r="D92"/>
      <c r="E92"/>
      <c r="F92" s="51" t="s">
        <v>150</v>
      </c>
      <c r="G92" s="52"/>
      <c r="H92" s="52">
        <v>0</v>
      </c>
      <c r="I92" s="52"/>
      <c r="J92" s="52">
        <v>0</v>
      </c>
      <c r="K92" s="52">
        <v>500.5</v>
      </c>
      <c r="L92" s="52">
        <v>250.25</v>
      </c>
      <c r="M92"/>
      <c r="N92"/>
      <c r="P92"/>
      <c r="Q92"/>
    </row>
    <row r="93" spans="2:17" ht="13" outlineLevel="1" x14ac:dyDescent="0.3">
      <c r="B93"/>
      <c r="C93"/>
      <c r="D93"/>
      <c r="E93"/>
      <c r="F93" s="51" t="s">
        <v>152</v>
      </c>
      <c r="G93" s="52"/>
      <c r="H93" s="52">
        <v>0</v>
      </c>
      <c r="I93" s="52">
        <v>492</v>
      </c>
      <c r="J93" s="52">
        <v>246</v>
      </c>
      <c r="K93" s="52"/>
      <c r="L93" s="52">
        <v>0</v>
      </c>
      <c r="M93"/>
      <c r="N93"/>
      <c r="P93"/>
      <c r="Q93"/>
    </row>
    <row r="94" spans="2:17" ht="13" outlineLevel="1" x14ac:dyDescent="0.3">
      <c r="B94"/>
      <c r="C94"/>
      <c r="D94"/>
      <c r="E94"/>
      <c r="F94" s="51" t="s">
        <v>155</v>
      </c>
      <c r="G94" s="52"/>
      <c r="H94" s="52">
        <v>0</v>
      </c>
      <c r="I94" s="52">
        <v>486.78000000000003</v>
      </c>
      <c r="J94" s="52">
        <v>243.39000000000001</v>
      </c>
      <c r="K94" s="52"/>
      <c r="L94" s="52">
        <v>0</v>
      </c>
      <c r="M94"/>
      <c r="N94"/>
      <c r="P94"/>
      <c r="Q94"/>
    </row>
    <row r="95" spans="2:17" ht="13" outlineLevel="1" x14ac:dyDescent="0.3">
      <c r="B95"/>
      <c r="C95"/>
      <c r="D95"/>
      <c r="E95"/>
      <c r="F95" s="51" t="s">
        <v>159</v>
      </c>
      <c r="G95" s="52"/>
      <c r="H95" s="52">
        <v>0</v>
      </c>
      <c r="I95" s="52"/>
      <c r="J95" s="52">
        <v>0</v>
      </c>
      <c r="K95" s="52">
        <v>468.33000000000004</v>
      </c>
      <c r="L95" s="52">
        <v>234.16500000000002</v>
      </c>
      <c r="M95"/>
      <c r="N95"/>
      <c r="P95"/>
      <c r="Q95"/>
    </row>
    <row r="96" spans="2:17" ht="13" outlineLevel="1" x14ac:dyDescent="0.3">
      <c r="B96"/>
      <c r="C96"/>
      <c r="D96"/>
      <c r="E96"/>
      <c r="F96" s="51" t="s">
        <v>161</v>
      </c>
      <c r="G96" s="52">
        <v>461.5</v>
      </c>
      <c r="H96" s="52">
        <v>230.75</v>
      </c>
      <c r="I96" s="52"/>
      <c r="J96" s="52">
        <v>0</v>
      </c>
      <c r="K96" s="52"/>
      <c r="L96" s="52">
        <v>0</v>
      </c>
      <c r="M96"/>
      <c r="N96"/>
      <c r="P96"/>
      <c r="Q96"/>
    </row>
    <row r="97" spans="2:17" ht="13" outlineLevel="1" x14ac:dyDescent="0.3">
      <c r="B97"/>
      <c r="C97"/>
      <c r="D97"/>
      <c r="E97"/>
      <c r="F97" s="51" t="s">
        <v>165</v>
      </c>
      <c r="G97" s="52"/>
      <c r="H97" s="52">
        <v>0</v>
      </c>
      <c r="I97" s="52">
        <v>423</v>
      </c>
      <c r="J97" s="52">
        <v>211.5</v>
      </c>
      <c r="K97" s="52"/>
      <c r="L97" s="52">
        <v>0</v>
      </c>
      <c r="M97"/>
      <c r="N97"/>
      <c r="P97"/>
      <c r="Q97"/>
    </row>
    <row r="98" spans="2:17" ht="13" outlineLevel="1" x14ac:dyDescent="0.3">
      <c r="F98" s="51" t="s">
        <v>167</v>
      </c>
      <c r="G98" s="52"/>
      <c r="H98" s="52">
        <v>0</v>
      </c>
      <c r="I98" s="52">
        <v>422.5</v>
      </c>
      <c r="J98" s="52">
        <v>211.25</v>
      </c>
      <c r="K98" s="52"/>
      <c r="L98" s="52">
        <v>0</v>
      </c>
      <c r="P98"/>
      <c r="Q98"/>
    </row>
    <row r="99" spans="2:17" ht="13" outlineLevel="1" x14ac:dyDescent="0.3">
      <c r="F99" s="51" t="s">
        <v>170</v>
      </c>
      <c r="G99" s="52"/>
      <c r="H99" s="52">
        <v>0</v>
      </c>
      <c r="I99" s="52">
        <v>416</v>
      </c>
      <c r="J99" s="52">
        <v>208</v>
      </c>
      <c r="K99" s="52"/>
      <c r="L99" s="52">
        <v>0</v>
      </c>
      <c r="P99"/>
      <c r="Q99"/>
    </row>
    <row r="100" spans="2:17" ht="13" outlineLevel="1" x14ac:dyDescent="0.3">
      <c r="F100" s="51" t="s">
        <v>174</v>
      </c>
      <c r="G100" s="52"/>
      <c r="H100" s="52">
        <v>0</v>
      </c>
      <c r="I100" s="52"/>
      <c r="J100" s="52">
        <v>0</v>
      </c>
      <c r="K100" s="52">
        <v>409.59000000000003</v>
      </c>
      <c r="L100" s="52">
        <v>204.79500000000002</v>
      </c>
      <c r="P100"/>
      <c r="Q100"/>
    </row>
    <row r="101" spans="2:17" ht="13" outlineLevel="1" x14ac:dyDescent="0.3">
      <c r="F101" s="51" t="s">
        <v>176</v>
      </c>
      <c r="G101" s="52"/>
      <c r="H101" s="52">
        <v>0</v>
      </c>
      <c r="I101" s="52">
        <v>405</v>
      </c>
      <c r="J101" s="52">
        <v>202.5</v>
      </c>
      <c r="K101" s="52"/>
      <c r="L101" s="52">
        <v>0</v>
      </c>
      <c r="P101"/>
      <c r="Q101"/>
    </row>
    <row r="102" spans="2:17" ht="13" outlineLevel="1" x14ac:dyDescent="0.3">
      <c r="F102" s="51" t="s">
        <v>180</v>
      </c>
      <c r="G102" s="52"/>
      <c r="H102" s="52">
        <v>0</v>
      </c>
      <c r="I102" s="52">
        <v>382.5</v>
      </c>
      <c r="J102" s="52">
        <v>191.25</v>
      </c>
      <c r="K102" s="52"/>
      <c r="L102" s="52">
        <v>0</v>
      </c>
      <c r="P102"/>
      <c r="Q102"/>
    </row>
    <row r="103" spans="2:17" ht="13" outlineLevel="1" x14ac:dyDescent="0.3">
      <c r="F103" s="51" t="s">
        <v>183</v>
      </c>
      <c r="G103" s="52"/>
      <c r="H103" s="52">
        <v>0</v>
      </c>
      <c r="I103" s="52"/>
      <c r="J103" s="52">
        <v>0</v>
      </c>
      <c r="K103" s="52">
        <v>336</v>
      </c>
      <c r="L103" s="52">
        <v>168</v>
      </c>
      <c r="P103"/>
      <c r="Q103"/>
    </row>
    <row r="104" spans="2:17" ht="13" outlineLevel="1" x14ac:dyDescent="0.3">
      <c r="F104" s="51" t="s">
        <v>185</v>
      </c>
      <c r="G104" s="52"/>
      <c r="H104" s="52">
        <v>0</v>
      </c>
      <c r="I104" s="52">
        <v>319.20000000000005</v>
      </c>
      <c r="J104" s="52">
        <v>159.60000000000002</v>
      </c>
      <c r="K104" s="52"/>
      <c r="L104" s="52">
        <v>0</v>
      </c>
      <c r="P104"/>
      <c r="Q104"/>
    </row>
    <row r="105" spans="2:17" ht="13" outlineLevel="1" x14ac:dyDescent="0.3">
      <c r="F105" s="51" t="s">
        <v>187</v>
      </c>
      <c r="G105" s="52"/>
      <c r="H105" s="52">
        <v>0</v>
      </c>
      <c r="I105" s="52">
        <v>312</v>
      </c>
      <c r="J105" s="52">
        <v>156</v>
      </c>
      <c r="K105" s="52"/>
      <c r="L105" s="52">
        <v>0</v>
      </c>
      <c r="P105"/>
      <c r="Q105"/>
    </row>
    <row r="106" spans="2:17" ht="13" outlineLevel="1" x14ac:dyDescent="0.3">
      <c r="F106" s="51" t="s">
        <v>196</v>
      </c>
      <c r="G106" s="52"/>
      <c r="H106" s="52">
        <v>0</v>
      </c>
      <c r="I106" s="52">
        <v>276</v>
      </c>
      <c r="J106" s="52">
        <v>138</v>
      </c>
      <c r="K106" s="52"/>
      <c r="L106" s="52">
        <v>0</v>
      </c>
      <c r="P106"/>
      <c r="Q106"/>
    </row>
    <row r="107" spans="2:17" ht="13" outlineLevel="1" x14ac:dyDescent="0.3">
      <c r="F107" s="51" t="s">
        <v>191</v>
      </c>
      <c r="G107" s="52"/>
      <c r="H107" s="52">
        <v>0</v>
      </c>
      <c r="I107" s="52"/>
      <c r="J107" s="52">
        <v>0</v>
      </c>
      <c r="K107" s="52">
        <v>261</v>
      </c>
      <c r="L107" s="52">
        <v>130.5</v>
      </c>
      <c r="P107"/>
      <c r="Q107"/>
    </row>
    <row r="108" spans="2:17" ht="13" outlineLevel="1" x14ac:dyDescent="0.3">
      <c r="F108" s="51" t="s">
        <v>193</v>
      </c>
      <c r="G108" s="52"/>
      <c r="H108" s="52">
        <v>0</v>
      </c>
      <c r="I108" s="52">
        <v>259.35000000000002</v>
      </c>
      <c r="J108" s="52">
        <v>129.67500000000001</v>
      </c>
      <c r="K108" s="52"/>
      <c r="L108" s="52">
        <v>0</v>
      </c>
      <c r="P108"/>
      <c r="Q108"/>
    </row>
    <row r="109" spans="2:17" ht="13" outlineLevel="1" x14ac:dyDescent="0.3">
      <c r="F109" s="51" t="s">
        <v>198</v>
      </c>
      <c r="G109" s="52"/>
      <c r="H109" s="52">
        <v>0</v>
      </c>
      <c r="I109" s="52"/>
      <c r="J109" s="52">
        <v>0</v>
      </c>
      <c r="K109" s="52">
        <v>231</v>
      </c>
      <c r="L109" s="52">
        <v>115.5</v>
      </c>
      <c r="P109"/>
      <c r="Q109"/>
    </row>
    <row r="110" spans="2:17" ht="13" outlineLevel="1" x14ac:dyDescent="0.3">
      <c r="F110" s="51" t="s">
        <v>200</v>
      </c>
      <c r="G110" s="52"/>
      <c r="H110" s="52">
        <v>0</v>
      </c>
      <c r="I110" s="52">
        <v>227.43</v>
      </c>
      <c r="J110" s="52">
        <v>113.715</v>
      </c>
      <c r="K110" s="52"/>
      <c r="L110" s="52">
        <v>0</v>
      </c>
      <c r="P110"/>
      <c r="Q110"/>
    </row>
    <row r="111" spans="2:17" ht="13" outlineLevel="1" x14ac:dyDescent="0.3">
      <c r="F111" s="51" t="s">
        <v>202</v>
      </c>
      <c r="G111" s="52"/>
      <c r="H111" s="52">
        <v>0</v>
      </c>
      <c r="I111" s="52">
        <v>219.78</v>
      </c>
      <c r="J111" s="52">
        <v>109.89</v>
      </c>
      <c r="K111" s="52"/>
      <c r="L111" s="52">
        <v>0</v>
      </c>
      <c r="P111"/>
      <c r="Q111"/>
    </row>
    <row r="112" spans="2:17" ht="13" outlineLevel="1" x14ac:dyDescent="0.3">
      <c r="F112" s="51" t="s">
        <v>206</v>
      </c>
      <c r="G112" s="52"/>
      <c r="H112" s="52">
        <v>0</v>
      </c>
      <c r="I112" s="52">
        <v>143</v>
      </c>
      <c r="J112" s="52">
        <v>71.5</v>
      </c>
      <c r="K112" s="52"/>
      <c r="L112" s="52">
        <v>0</v>
      </c>
      <c r="P112"/>
      <c r="Q112"/>
    </row>
    <row r="113" spans="6:17" ht="13" outlineLevel="1" x14ac:dyDescent="0.3">
      <c r="F113" s="51" t="s">
        <v>208</v>
      </c>
      <c r="G113" s="52"/>
      <c r="H113" s="52">
        <v>0</v>
      </c>
      <c r="I113" s="52"/>
      <c r="J113" s="52">
        <v>0</v>
      </c>
      <c r="K113" s="52">
        <v>139.86000000000001</v>
      </c>
      <c r="L113" s="52">
        <v>69.930000000000007</v>
      </c>
      <c r="P113"/>
      <c r="Q113"/>
    </row>
    <row r="114" spans="6:17" ht="13" outlineLevel="1" x14ac:dyDescent="0.3">
      <c r="F114" s="51" t="s">
        <v>211</v>
      </c>
      <c r="G114" s="52"/>
      <c r="H114" s="52">
        <v>0</v>
      </c>
      <c r="I114" s="52">
        <v>111.72</v>
      </c>
      <c r="J114" s="52">
        <v>55.86</v>
      </c>
      <c r="K114" s="52"/>
      <c r="L114" s="52">
        <v>0</v>
      </c>
      <c r="P114"/>
      <c r="Q114"/>
    </row>
    <row r="115" spans="6:17" ht="13" outlineLevel="1" x14ac:dyDescent="0.3">
      <c r="F115" s="51" t="s">
        <v>215</v>
      </c>
      <c r="G115" s="52">
        <v>54</v>
      </c>
      <c r="H115" s="52">
        <v>27</v>
      </c>
      <c r="I115" s="52"/>
      <c r="J115" s="52">
        <v>0</v>
      </c>
      <c r="K115" s="52"/>
      <c r="L115" s="52">
        <v>0</v>
      </c>
      <c r="P115"/>
      <c r="Q115"/>
    </row>
    <row r="116" spans="6:17" ht="13" outlineLevel="1" x14ac:dyDescent="0.3">
      <c r="F116" s="51" t="s">
        <v>217</v>
      </c>
      <c r="G116" s="52"/>
      <c r="H116" s="52">
        <v>0</v>
      </c>
      <c r="I116" s="52"/>
      <c r="J116" s="52">
        <v>0</v>
      </c>
      <c r="K116" s="52">
        <v>45</v>
      </c>
      <c r="L116" s="52">
        <v>22.5</v>
      </c>
      <c r="P116"/>
      <c r="Q116"/>
    </row>
    <row r="117" spans="6:17" ht="13" outlineLevel="1" x14ac:dyDescent="0.3">
      <c r="F117" s="51" t="s">
        <v>222</v>
      </c>
      <c r="G117" s="52"/>
      <c r="H117" s="52">
        <v>0</v>
      </c>
      <c r="I117" s="52"/>
      <c r="J117" s="52">
        <v>0</v>
      </c>
      <c r="K117" s="52">
        <v>31.5</v>
      </c>
      <c r="L117" s="52">
        <v>15.75</v>
      </c>
      <c r="P117"/>
      <c r="Q117"/>
    </row>
    <row r="118" spans="6:17" ht="13" outlineLevel="1" x14ac:dyDescent="0.3">
      <c r="F118" s="51" t="s">
        <v>232</v>
      </c>
      <c r="G118" s="52">
        <v>10356.24</v>
      </c>
      <c r="H118" s="52">
        <v>5178.12</v>
      </c>
      <c r="I118" s="52">
        <v>37801.520000000004</v>
      </c>
      <c r="J118" s="52">
        <v>18900.760000000002</v>
      </c>
      <c r="K118" s="52">
        <v>34385.35</v>
      </c>
      <c r="L118" s="52">
        <v>17192.674999999999</v>
      </c>
      <c r="P118"/>
      <c r="Q118"/>
    </row>
    <row r="119" spans="6:17" ht="13" outlineLevel="1" x14ac:dyDescent="0.3">
      <c r="P119"/>
      <c r="Q119"/>
    </row>
    <row r="120" spans="6:17" ht="13" x14ac:dyDescent="0.3">
      <c r="P120"/>
      <c r="Q120"/>
    </row>
    <row r="121" spans="6:17" ht="13" x14ac:dyDescent="0.3">
      <c r="P121"/>
      <c r="Q121"/>
    </row>
    <row r="122" spans="6:17" ht="13" x14ac:dyDescent="0.3">
      <c r="P122"/>
      <c r="Q122"/>
    </row>
    <row r="123" spans="6:17" ht="13" x14ac:dyDescent="0.3">
      <c r="P123"/>
      <c r="Q123"/>
    </row>
    <row r="124" spans="6:17" ht="13" x14ac:dyDescent="0.3">
      <c r="P124"/>
      <c r="Q124"/>
    </row>
    <row r="125" spans="6:17" ht="13" x14ac:dyDescent="0.3">
      <c r="P125"/>
      <c r="Q125"/>
    </row>
    <row r="126" spans="6:17" ht="13" x14ac:dyDescent="0.3">
      <c r="P126"/>
      <c r="Q126"/>
    </row>
    <row r="127" spans="6:17" ht="13" x14ac:dyDescent="0.3">
      <c r="P127"/>
      <c r="Q127"/>
    </row>
    <row r="128" spans="6:17" ht="13" x14ac:dyDescent="0.3">
      <c r="P128"/>
      <c r="Q128"/>
    </row>
    <row r="129" spans="16:16" ht="13" x14ac:dyDescent="0.3">
      <c r="P129"/>
    </row>
    <row r="130" spans="16:16" ht="13" x14ac:dyDescent="0.3">
      <c r="P130"/>
    </row>
    <row r="131" spans="16:16" ht="13" x14ac:dyDescent="0.3">
      <c r="P131"/>
    </row>
    <row r="132" spans="16:16" ht="13" x14ac:dyDescent="0.3">
      <c r="P132"/>
    </row>
    <row r="133" spans="16:16" ht="13" x14ac:dyDescent="0.3">
      <c r="P133"/>
    </row>
    <row r="134" spans="16:16" ht="13" x14ac:dyDescent="0.3">
      <c r="P134"/>
    </row>
    <row r="135" spans="16:16" ht="13" x14ac:dyDescent="0.3">
      <c r="P135"/>
    </row>
    <row r="136" spans="16:16" ht="13" x14ac:dyDescent="0.3">
      <c r="P136"/>
    </row>
    <row r="137" spans="16:16" ht="13" x14ac:dyDescent="0.3">
      <c r="P137"/>
    </row>
    <row r="138" spans="16:16" ht="13" x14ac:dyDescent="0.3">
      <c r="P138"/>
    </row>
    <row r="139" spans="16:16" ht="13" x14ac:dyDescent="0.3">
      <c r="P139"/>
    </row>
    <row r="140" spans="16:16" ht="13" x14ac:dyDescent="0.3">
      <c r="P140"/>
    </row>
    <row r="141" spans="16:16" ht="13" x14ac:dyDescent="0.3">
      <c r="P141"/>
    </row>
    <row r="142" spans="16:16" ht="13" x14ac:dyDescent="0.3">
      <c r="P142"/>
    </row>
    <row r="143" spans="16:16" ht="13" x14ac:dyDescent="0.3">
      <c r="P143"/>
    </row>
    <row r="144" spans="16:16" ht="13" x14ac:dyDescent="0.3">
      <c r="P144"/>
    </row>
    <row r="145" spans="16:16" ht="13" x14ac:dyDescent="0.3">
      <c r="P145"/>
    </row>
    <row r="146" spans="16:16" ht="13" x14ac:dyDescent="0.3">
      <c r="P146"/>
    </row>
    <row r="147" spans="16:16" ht="13" x14ac:dyDescent="0.3">
      <c r="P147"/>
    </row>
    <row r="148" spans="16:16" ht="13" x14ac:dyDescent="0.3">
      <c r="P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ThisWorkbook.Calc_Instruction_Send_To_Answer_1">
                <anchor moveWithCells="1" sizeWithCells="1">
                  <from>
                    <xdr:col>15</xdr:col>
                    <xdr:colOff>88900</xdr:colOff>
                    <xdr:row>17</xdr:row>
                    <xdr:rowOff>76200</xdr:rowOff>
                  </from>
                  <to>
                    <xdr:col>16</xdr:col>
                    <xdr:colOff>641350</xdr:colOff>
                    <xdr:row>20</xdr:row>
                    <xdr:rowOff>114300</xdr:rowOff>
                  </to>
                </anchor>
              </controlPr>
            </control>
          </mc:Choice>
        </mc:AlternateContent>
        <mc:AlternateContent xmlns:mc="http://schemas.openxmlformats.org/markup-compatibility/2006">
          <mc:Choice Requires="x14">
            <control shapeId="16386" r:id="rId7" name="Button 2">
              <controlPr defaultSize="0" print="0" autoFill="0" autoPict="0" macro="[0]!ThisWorkbook.Calc_Instruction_Send_To_Answer_2">
                <anchor moveWithCells="1" sizeWithCells="1">
                  <from>
                    <xdr:col>15</xdr:col>
                    <xdr:colOff>152400</xdr:colOff>
                    <xdr:row>32</xdr:row>
                    <xdr:rowOff>107950</xdr:rowOff>
                  </from>
                  <to>
                    <xdr:col>16</xdr:col>
                    <xdr:colOff>685800</xdr:colOff>
                    <xdr:row>35</xdr:row>
                    <xdr:rowOff>146050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K115"/>
  <sheetViews>
    <sheetView showGridLines="0" zoomScale="80" workbookViewId="0">
      <selection activeCell="G2" sqref="G2"/>
    </sheetView>
  </sheetViews>
  <sheetFormatPr defaultColWidth="9.33203125" defaultRowHeight="12.5" outlineLevelRow="1" x14ac:dyDescent="0.25"/>
  <cols>
    <col min="1" max="5" width="9.33203125" style="2"/>
    <col min="6" max="6" width="31.33203125" style="2" customWidth="1"/>
    <col min="7" max="7" width="20.6640625" style="2" customWidth="1"/>
    <col min="8" max="8" width="15.33203125" style="2" bestFit="1" customWidth="1"/>
    <col min="9" max="9" width="14.33203125" style="2" bestFit="1" customWidth="1"/>
    <col min="10" max="10" width="15.77734375" style="2" bestFit="1" customWidth="1"/>
    <col min="11" max="11" width="14.33203125" style="2" bestFit="1" customWidth="1"/>
    <col min="12" max="16384" width="9.33203125" style="2"/>
  </cols>
  <sheetData>
    <row r="1" spans="1:10" ht="13" x14ac:dyDescent="0.3">
      <c r="A1" s="3" t="str">
        <f>Introduction!A1</f>
        <v>Problem Solving with Excel</v>
      </c>
    </row>
    <row r="2" spans="1:10" ht="13" x14ac:dyDescent="0.3">
      <c r="A2" s="3" t="str">
        <f>Introduction!A2</f>
        <v>Week 3</v>
      </c>
    </row>
    <row r="3" spans="1:10" ht="13" x14ac:dyDescent="0.3">
      <c r="A3" s="3" t="str">
        <f>Introduction!A3</f>
        <v>Pivot Tables</v>
      </c>
    </row>
    <row r="4" spans="1:10" ht="13" x14ac:dyDescent="0.3">
      <c r="A4" s="3" t="str">
        <f ca="1">MID(CELL("Filename",I7),SEARCH("]",CELL("Filename",I7),1)+1,100)</f>
        <v>Section 7 - Slicers</v>
      </c>
    </row>
    <row r="7" spans="1:10" ht="18.5" x14ac:dyDescent="0.45">
      <c r="B7" s="5" t="s">
        <v>311</v>
      </c>
    </row>
    <row r="8" spans="1:10" ht="13" hidden="1" outlineLevel="1" x14ac:dyDescent="0.3">
      <c r="F8" s="46" t="s">
        <v>312</v>
      </c>
    </row>
    <row r="9" spans="1:10" ht="13" hidden="1" outlineLevel="1" x14ac:dyDescent="0.3">
      <c r="F9" s="50" t="s">
        <v>250</v>
      </c>
      <c r="G9" t="s">
        <v>246</v>
      </c>
      <c r="H9"/>
    </row>
    <row r="10" spans="1:10" ht="13" hidden="1" outlineLevel="1" x14ac:dyDescent="0.3">
      <c r="F10" s="51" t="s">
        <v>237</v>
      </c>
      <c r="G10" s="54">
        <v>1765</v>
      </c>
      <c r="H10"/>
    </row>
    <row r="11" spans="1:10" ht="13" hidden="1" outlineLevel="1" x14ac:dyDescent="0.3">
      <c r="F11" s="51" t="s">
        <v>245</v>
      </c>
      <c r="G11" s="54">
        <v>1444</v>
      </c>
      <c r="H11"/>
      <c r="I11"/>
    </row>
    <row r="12" spans="1:10" ht="13" hidden="1" outlineLevel="1" x14ac:dyDescent="0.3">
      <c r="F12" s="51" t="s">
        <v>240</v>
      </c>
      <c r="G12" s="54">
        <v>1357</v>
      </c>
      <c r="H12"/>
      <c r="I12"/>
    </row>
    <row r="13" spans="1:10" ht="13" hidden="1" outlineLevel="1" x14ac:dyDescent="0.3">
      <c r="F13" s="51" t="s">
        <v>239</v>
      </c>
      <c r="G13" s="54">
        <v>1246</v>
      </c>
      <c r="H13"/>
      <c r="I13"/>
    </row>
    <row r="14" spans="1:10" ht="13" hidden="1" outlineLevel="1" x14ac:dyDescent="0.3">
      <c r="F14" s="51" t="s">
        <v>244</v>
      </c>
      <c r="G14" s="54">
        <v>1011</v>
      </c>
      <c r="H14"/>
      <c r="I14"/>
    </row>
    <row r="15" spans="1:10" ht="13" hidden="1" outlineLevel="1" x14ac:dyDescent="0.3">
      <c r="F15" s="51" t="s">
        <v>238</v>
      </c>
      <c r="G15" s="54">
        <v>1008</v>
      </c>
      <c r="H15"/>
      <c r="I15"/>
    </row>
    <row r="16" spans="1:10" ht="13" hidden="1" outlineLevel="1" x14ac:dyDescent="0.3">
      <c r="F16" s="51" t="s">
        <v>242</v>
      </c>
      <c r="G16" s="54">
        <v>932</v>
      </c>
      <c r="H16"/>
      <c r="I16"/>
      <c r="J16"/>
    </row>
    <row r="17" spans="2:11" ht="13" hidden="1" outlineLevel="1" x14ac:dyDescent="0.3">
      <c r="F17" s="51" t="s">
        <v>235</v>
      </c>
      <c r="G17" s="54">
        <v>784</v>
      </c>
      <c r="H17"/>
      <c r="I17"/>
      <c r="J17"/>
    </row>
    <row r="18" spans="2:11" ht="13" hidden="1" outlineLevel="1" x14ac:dyDescent="0.3">
      <c r="F18" s="51" t="s">
        <v>236</v>
      </c>
      <c r="G18" s="54">
        <v>746</v>
      </c>
      <c r="H18"/>
      <c r="I18"/>
      <c r="J18"/>
    </row>
    <row r="19" spans="2:11" ht="13" hidden="1" outlineLevel="1" x14ac:dyDescent="0.3">
      <c r="F19" s="51" t="s">
        <v>243</v>
      </c>
      <c r="G19" s="54">
        <v>676</v>
      </c>
      <c r="H19"/>
      <c r="I19"/>
      <c r="J19"/>
    </row>
    <row r="20" spans="2:11" ht="13" hidden="1" outlineLevel="1" x14ac:dyDescent="0.3">
      <c r="F20" s="51" t="s">
        <v>232</v>
      </c>
      <c r="G20" s="54">
        <v>10969</v>
      </c>
    </row>
    <row r="21" spans="2:11" hidden="1" outlineLevel="1" x14ac:dyDescent="0.25"/>
    <row r="22" spans="2:11" hidden="1" outlineLevel="1" x14ac:dyDescent="0.25"/>
    <row r="23" spans="2:11" hidden="1" outlineLevel="1" x14ac:dyDescent="0.25"/>
    <row r="24" spans="2:11" ht="18.5" collapsed="1" x14ac:dyDescent="0.45">
      <c r="B24" s="5" t="s">
        <v>313</v>
      </c>
    </row>
    <row r="25" spans="2:11" ht="13" hidden="1" outlineLevel="1" x14ac:dyDescent="0.3">
      <c r="B25"/>
      <c r="C25"/>
      <c r="D25"/>
      <c r="E25"/>
      <c r="F25" s="46" t="s">
        <v>314</v>
      </c>
      <c r="G25"/>
      <c r="J25"/>
      <c r="K25"/>
    </row>
    <row r="26" spans="2:11" ht="13" hidden="1" outlineLevel="1" x14ac:dyDescent="0.3">
      <c r="B26"/>
      <c r="C26"/>
      <c r="D26"/>
      <c r="E26"/>
      <c r="F26" s="50" t="s">
        <v>8</v>
      </c>
      <c r="G26" t="s">
        <v>234</v>
      </c>
      <c r="J26"/>
      <c r="K26"/>
    </row>
    <row r="27" spans="2:11" ht="13" hidden="1" outlineLevel="1" x14ac:dyDescent="0.3">
      <c r="B27"/>
      <c r="C27"/>
      <c r="D27"/>
      <c r="E27"/>
      <c r="F27" s="51" t="s">
        <v>17</v>
      </c>
      <c r="G27" s="52">
        <v>3016</v>
      </c>
      <c r="J27"/>
      <c r="K27"/>
    </row>
    <row r="28" spans="2:11" ht="13" hidden="1" outlineLevel="1" x14ac:dyDescent="0.3">
      <c r="B28"/>
      <c r="C28"/>
      <c r="D28"/>
      <c r="E28"/>
      <c r="F28" s="51" t="s">
        <v>21</v>
      </c>
      <c r="G28" s="52">
        <v>2856.5</v>
      </c>
      <c r="J28"/>
      <c r="K28"/>
    </row>
    <row r="29" spans="2:11" ht="13" hidden="1" outlineLevel="1" x14ac:dyDescent="0.3">
      <c r="B29"/>
      <c r="C29"/>
      <c r="D29"/>
      <c r="E29"/>
      <c r="F29" s="51" t="s">
        <v>27</v>
      </c>
      <c r="G29" s="52">
        <v>2845.59</v>
      </c>
      <c r="H29"/>
      <c r="I29"/>
      <c r="J29"/>
      <c r="K29"/>
    </row>
    <row r="30" spans="2:11" ht="13" hidden="1" outlineLevel="1" x14ac:dyDescent="0.3">
      <c r="B30"/>
      <c r="C30"/>
      <c r="D30"/>
      <c r="E30"/>
      <c r="F30" s="51" t="s">
        <v>35</v>
      </c>
      <c r="G30" s="52">
        <v>2628.2699999999995</v>
      </c>
      <c r="H30"/>
      <c r="I30"/>
      <c r="J30"/>
      <c r="K30"/>
    </row>
    <row r="31" spans="2:11" ht="13" hidden="1" outlineLevel="1" x14ac:dyDescent="0.3">
      <c r="B31"/>
      <c r="C31"/>
      <c r="D31"/>
      <c r="E31"/>
      <c r="F31" s="51" t="s">
        <v>24</v>
      </c>
      <c r="G31" s="52">
        <v>2552</v>
      </c>
      <c r="H31"/>
      <c r="I31"/>
      <c r="J31"/>
      <c r="K31"/>
    </row>
    <row r="32" spans="2:11" ht="13" hidden="1" outlineLevel="1" x14ac:dyDescent="0.3">
      <c r="B32"/>
      <c r="C32"/>
      <c r="D32"/>
      <c r="E32"/>
      <c r="F32" s="51" t="s">
        <v>29</v>
      </c>
      <c r="G32" s="52">
        <v>2407</v>
      </c>
      <c r="H32"/>
      <c r="I32"/>
      <c r="J32"/>
      <c r="K32"/>
    </row>
    <row r="33" spans="2:11" ht="13" hidden="1" outlineLevel="1" x14ac:dyDescent="0.3">
      <c r="B33"/>
      <c r="C33"/>
      <c r="D33"/>
      <c r="E33"/>
      <c r="F33" s="51" t="s">
        <v>31</v>
      </c>
      <c r="G33" s="52">
        <v>2276.5</v>
      </c>
      <c r="H33"/>
      <c r="I33"/>
      <c r="J33"/>
      <c r="K33"/>
    </row>
    <row r="34" spans="2:11" ht="13" hidden="1" outlineLevel="1" x14ac:dyDescent="0.3">
      <c r="B34"/>
      <c r="C34"/>
      <c r="D34"/>
      <c r="E34"/>
      <c r="F34" s="51" t="s">
        <v>80</v>
      </c>
      <c r="G34" s="52">
        <v>2106.0500000000002</v>
      </c>
      <c r="H34"/>
      <c r="I34"/>
      <c r="J34"/>
      <c r="K34"/>
    </row>
    <row r="35" spans="2:11" ht="13" hidden="1" outlineLevel="1" x14ac:dyDescent="0.3">
      <c r="B35"/>
      <c r="C35"/>
      <c r="D35"/>
      <c r="E35"/>
      <c r="F35" s="51" t="s">
        <v>33</v>
      </c>
      <c r="G35" s="52">
        <v>2059</v>
      </c>
      <c r="H35"/>
      <c r="I35"/>
      <c r="J35"/>
      <c r="K35"/>
    </row>
    <row r="36" spans="2:11" ht="13" hidden="1" outlineLevel="1" x14ac:dyDescent="0.3">
      <c r="B36"/>
      <c r="C36"/>
      <c r="D36"/>
      <c r="E36"/>
      <c r="F36" s="51" t="s">
        <v>38</v>
      </c>
      <c r="G36" s="52">
        <v>1845</v>
      </c>
      <c r="H36"/>
      <c r="I36"/>
      <c r="J36"/>
      <c r="K36"/>
    </row>
    <row r="37" spans="2:11" ht="13" hidden="1" outlineLevel="1" x14ac:dyDescent="0.3">
      <c r="B37"/>
      <c r="C37"/>
      <c r="D37"/>
      <c r="E37"/>
      <c r="F37" s="51" t="s">
        <v>41</v>
      </c>
      <c r="G37" s="52">
        <v>1791</v>
      </c>
      <c r="H37"/>
      <c r="I37"/>
      <c r="J37"/>
      <c r="K37"/>
    </row>
    <row r="38" spans="2:11" ht="13" hidden="1" outlineLevel="1" x14ac:dyDescent="0.3">
      <c r="B38"/>
      <c r="C38"/>
      <c r="D38"/>
      <c r="E38"/>
      <c r="F38" s="51" t="s">
        <v>43</v>
      </c>
      <c r="G38" s="52">
        <v>1692</v>
      </c>
      <c r="H38"/>
      <c r="I38"/>
      <c r="J38"/>
      <c r="K38"/>
    </row>
    <row r="39" spans="2:11" ht="13" hidden="1" outlineLevel="1" x14ac:dyDescent="0.3">
      <c r="B39"/>
      <c r="C39"/>
      <c r="D39"/>
      <c r="E39"/>
      <c r="F39" s="51" t="s">
        <v>45</v>
      </c>
      <c r="G39" s="52">
        <v>1692</v>
      </c>
      <c r="H39"/>
      <c r="I39"/>
      <c r="J39"/>
      <c r="K39"/>
    </row>
    <row r="40" spans="2:11" ht="13" hidden="1" outlineLevel="1" x14ac:dyDescent="0.3">
      <c r="F40" s="51" t="s">
        <v>47</v>
      </c>
      <c r="G40" s="52">
        <v>1668.33</v>
      </c>
      <c r="H40"/>
      <c r="I40"/>
    </row>
    <row r="41" spans="2:11" ht="13" hidden="1" outlineLevel="1" x14ac:dyDescent="0.3">
      <c r="F41" s="51" t="s">
        <v>49</v>
      </c>
      <c r="G41" s="52">
        <v>1628.3700000000001</v>
      </c>
      <c r="H41"/>
      <c r="I41"/>
      <c r="J41"/>
      <c r="K41"/>
    </row>
    <row r="42" spans="2:11" ht="13" hidden="1" outlineLevel="1" x14ac:dyDescent="0.3">
      <c r="F42" s="51" t="s">
        <v>51</v>
      </c>
      <c r="G42" s="52">
        <v>1530</v>
      </c>
      <c r="H42"/>
      <c r="I42"/>
    </row>
    <row r="43" spans="2:11" ht="13" hidden="1" outlineLevel="1" x14ac:dyDescent="0.3">
      <c r="F43" s="51" t="s">
        <v>53</v>
      </c>
      <c r="G43" s="52">
        <v>1479</v>
      </c>
      <c r="H43"/>
      <c r="I43"/>
    </row>
    <row r="44" spans="2:11" ht="13" hidden="1" outlineLevel="1" x14ac:dyDescent="0.3">
      <c r="F44" s="51" t="s">
        <v>55</v>
      </c>
      <c r="G44" s="52">
        <v>1440</v>
      </c>
      <c r="H44"/>
      <c r="I44"/>
    </row>
    <row r="45" spans="2:11" ht="13" hidden="1" outlineLevel="1" x14ac:dyDescent="0.3">
      <c r="F45" s="51" t="s">
        <v>57</v>
      </c>
      <c r="G45" s="52">
        <v>1425.96</v>
      </c>
      <c r="H45"/>
      <c r="I45"/>
    </row>
    <row r="46" spans="2:11" ht="13" hidden="1" outlineLevel="1" x14ac:dyDescent="0.3">
      <c r="F46" s="51" t="s">
        <v>60</v>
      </c>
      <c r="G46" s="52">
        <v>1408.59</v>
      </c>
      <c r="H46"/>
      <c r="I46"/>
    </row>
    <row r="47" spans="2:11" ht="13" hidden="1" outlineLevel="1" x14ac:dyDescent="0.3">
      <c r="F47" s="51" t="s">
        <v>87</v>
      </c>
      <c r="G47" s="52">
        <v>1359</v>
      </c>
      <c r="H47"/>
      <c r="I47"/>
    </row>
    <row r="48" spans="2:11" ht="13" hidden="1" outlineLevel="1" x14ac:dyDescent="0.3">
      <c r="F48" s="51" t="s">
        <v>62</v>
      </c>
      <c r="G48" s="52">
        <v>1323</v>
      </c>
      <c r="H48"/>
      <c r="I48"/>
    </row>
    <row r="49" spans="6:9" ht="13" hidden="1" outlineLevel="1" x14ac:dyDescent="0.3">
      <c r="F49" s="51" t="s">
        <v>73</v>
      </c>
      <c r="G49" s="52">
        <v>1293</v>
      </c>
      <c r="H49"/>
      <c r="I49"/>
    </row>
    <row r="50" spans="6:9" ht="13" hidden="1" outlineLevel="1" x14ac:dyDescent="0.3">
      <c r="F50" s="51" t="s">
        <v>64</v>
      </c>
      <c r="G50" s="52">
        <v>1286.1600000000001</v>
      </c>
      <c r="H50"/>
      <c r="I50"/>
    </row>
    <row r="51" spans="6:9" ht="13" hidden="1" outlineLevel="1" x14ac:dyDescent="0.3">
      <c r="F51" s="51" t="s">
        <v>66</v>
      </c>
      <c r="G51" s="52">
        <v>1269</v>
      </c>
      <c r="H51"/>
      <c r="I51"/>
    </row>
    <row r="52" spans="6:9" ht="13" hidden="1" outlineLevel="1" x14ac:dyDescent="0.3">
      <c r="F52" s="51" t="s">
        <v>68</v>
      </c>
      <c r="G52" s="52">
        <v>1215</v>
      </c>
      <c r="H52"/>
      <c r="I52"/>
    </row>
    <row r="53" spans="6:9" ht="13" hidden="1" outlineLevel="1" x14ac:dyDescent="0.3">
      <c r="F53" s="51" t="s">
        <v>70</v>
      </c>
      <c r="G53" s="52">
        <v>1144</v>
      </c>
      <c r="H53"/>
      <c r="I53"/>
    </row>
    <row r="54" spans="6:9" ht="13" hidden="1" outlineLevel="1" x14ac:dyDescent="0.3">
      <c r="F54" s="51" t="s">
        <v>76</v>
      </c>
      <c r="G54" s="52">
        <v>1058.5</v>
      </c>
      <c r="H54"/>
      <c r="I54"/>
    </row>
    <row r="55" spans="6:9" ht="13" hidden="1" outlineLevel="1" x14ac:dyDescent="0.3">
      <c r="F55" s="51" t="s">
        <v>78</v>
      </c>
      <c r="G55" s="52">
        <v>1044</v>
      </c>
      <c r="H55"/>
      <c r="I55"/>
    </row>
    <row r="56" spans="6:9" ht="13" hidden="1" outlineLevel="1" x14ac:dyDescent="0.3">
      <c r="F56" s="51" t="s">
        <v>117</v>
      </c>
      <c r="G56" s="52">
        <v>1037.08</v>
      </c>
      <c r="H56"/>
      <c r="I56"/>
    </row>
    <row r="57" spans="6:9" ht="13" hidden="1" outlineLevel="1" x14ac:dyDescent="0.3">
      <c r="F57" s="51" t="s">
        <v>131</v>
      </c>
      <c r="G57" s="52">
        <v>1009.11</v>
      </c>
      <c r="H57"/>
      <c r="I57"/>
    </row>
    <row r="58" spans="6:9" ht="13" hidden="1" outlineLevel="1" x14ac:dyDescent="0.3">
      <c r="F58" s="51" t="s">
        <v>85</v>
      </c>
      <c r="G58" s="52">
        <v>973.5</v>
      </c>
      <c r="H58"/>
      <c r="I58"/>
    </row>
    <row r="59" spans="6:9" ht="13" hidden="1" outlineLevel="1" x14ac:dyDescent="0.3">
      <c r="F59" s="51" t="s">
        <v>82</v>
      </c>
      <c r="G59" s="52">
        <v>913.5</v>
      </c>
      <c r="H59"/>
      <c r="I59"/>
    </row>
    <row r="60" spans="6:9" ht="13" hidden="1" outlineLevel="1" x14ac:dyDescent="0.3">
      <c r="F60" s="51" t="s">
        <v>133</v>
      </c>
      <c r="G60" s="52">
        <v>907.16</v>
      </c>
      <c r="H60"/>
      <c r="I60"/>
    </row>
    <row r="61" spans="6:9" ht="13" hidden="1" outlineLevel="1" x14ac:dyDescent="0.3">
      <c r="F61" s="51" t="s">
        <v>89</v>
      </c>
      <c r="G61" s="52">
        <v>873.75</v>
      </c>
    </row>
    <row r="62" spans="6:9" ht="13" hidden="1" outlineLevel="1" x14ac:dyDescent="0.3">
      <c r="F62" s="51" t="s">
        <v>91</v>
      </c>
      <c r="G62" s="52">
        <v>850.5</v>
      </c>
    </row>
    <row r="63" spans="6:9" ht="13" hidden="1" outlineLevel="1" x14ac:dyDescent="0.3">
      <c r="F63" s="51" t="s">
        <v>144</v>
      </c>
      <c r="G63" s="52">
        <v>836.5</v>
      </c>
    </row>
    <row r="64" spans="6:9" ht="13" hidden="1" outlineLevel="1" x14ac:dyDescent="0.3">
      <c r="F64" s="51" t="s">
        <v>93</v>
      </c>
      <c r="G64" s="52">
        <v>819</v>
      </c>
    </row>
    <row r="65" spans="6:7" ht="13" hidden="1" outlineLevel="1" x14ac:dyDescent="0.3">
      <c r="F65" s="51" t="s">
        <v>163</v>
      </c>
      <c r="G65" s="52">
        <v>807</v>
      </c>
    </row>
    <row r="66" spans="6:7" ht="13" hidden="1" outlineLevel="1" x14ac:dyDescent="0.3">
      <c r="F66" s="51" t="s">
        <v>95</v>
      </c>
      <c r="G66" s="52">
        <v>801.99</v>
      </c>
    </row>
    <row r="67" spans="6:7" ht="13" hidden="1" outlineLevel="1" x14ac:dyDescent="0.3">
      <c r="F67" s="51" t="s">
        <v>98</v>
      </c>
      <c r="G67" s="52">
        <v>801</v>
      </c>
    </row>
    <row r="68" spans="6:7" ht="13" hidden="1" outlineLevel="1" x14ac:dyDescent="0.3">
      <c r="F68" s="51" t="s">
        <v>100</v>
      </c>
      <c r="G68" s="52">
        <v>754.92000000000007</v>
      </c>
    </row>
    <row r="69" spans="6:7" ht="13" hidden="1" outlineLevel="1" x14ac:dyDescent="0.3">
      <c r="F69" s="51" t="s">
        <v>102</v>
      </c>
      <c r="G69" s="52">
        <v>750</v>
      </c>
    </row>
    <row r="70" spans="6:7" ht="13" hidden="1" outlineLevel="1" x14ac:dyDescent="0.3">
      <c r="F70" s="51" t="s">
        <v>104</v>
      </c>
      <c r="G70" s="52">
        <v>742.5</v>
      </c>
    </row>
    <row r="71" spans="6:7" ht="13" hidden="1" outlineLevel="1" x14ac:dyDescent="0.3">
      <c r="F71" s="51" t="s">
        <v>125</v>
      </c>
      <c r="G71" s="52">
        <v>732.87</v>
      </c>
    </row>
    <row r="72" spans="6:7" ht="13" hidden="1" outlineLevel="1" x14ac:dyDescent="0.3">
      <c r="F72" s="51" t="s">
        <v>113</v>
      </c>
      <c r="G72" s="52">
        <v>717</v>
      </c>
    </row>
    <row r="73" spans="6:7" ht="13" hidden="1" outlineLevel="1" x14ac:dyDescent="0.3">
      <c r="F73" s="51" t="s">
        <v>121</v>
      </c>
      <c r="G73" s="52">
        <v>714.45</v>
      </c>
    </row>
    <row r="74" spans="6:7" ht="13" hidden="1" outlineLevel="1" x14ac:dyDescent="0.3">
      <c r="F74" s="51" t="s">
        <v>109</v>
      </c>
      <c r="G74" s="52">
        <v>678.30000000000007</v>
      </c>
    </row>
    <row r="75" spans="6:7" ht="13" hidden="1" outlineLevel="1" x14ac:dyDescent="0.3">
      <c r="F75" s="51" t="s">
        <v>111</v>
      </c>
      <c r="G75" s="52">
        <v>678</v>
      </c>
    </row>
    <row r="76" spans="6:7" ht="13" hidden="1" outlineLevel="1" x14ac:dyDescent="0.3">
      <c r="F76" s="51" t="s">
        <v>178</v>
      </c>
      <c r="G76" s="52">
        <v>645.63</v>
      </c>
    </row>
    <row r="77" spans="6:7" ht="13" hidden="1" outlineLevel="1" x14ac:dyDescent="0.3">
      <c r="F77" s="51" t="s">
        <v>115</v>
      </c>
      <c r="G77" s="52">
        <v>621</v>
      </c>
    </row>
    <row r="78" spans="6:7" ht="13" hidden="1" outlineLevel="1" x14ac:dyDescent="0.3">
      <c r="F78" s="51" t="s">
        <v>119</v>
      </c>
      <c r="G78" s="52">
        <v>617.5</v>
      </c>
    </row>
    <row r="79" spans="6:7" ht="13" hidden="1" outlineLevel="1" x14ac:dyDescent="0.3">
      <c r="F79" s="51" t="s">
        <v>123</v>
      </c>
      <c r="G79" s="52">
        <v>604.5</v>
      </c>
    </row>
    <row r="80" spans="6:7" ht="13" hidden="1" outlineLevel="1" x14ac:dyDescent="0.3">
      <c r="F80" s="51" t="s">
        <v>127</v>
      </c>
      <c r="G80" s="52">
        <v>602.49</v>
      </c>
    </row>
    <row r="81" spans="6:7" ht="13" hidden="1" outlineLevel="1" x14ac:dyDescent="0.3">
      <c r="F81" s="51" t="s">
        <v>129</v>
      </c>
      <c r="G81" s="52">
        <v>600</v>
      </c>
    </row>
    <row r="82" spans="6:7" ht="13" hidden="1" outlineLevel="1" x14ac:dyDescent="0.3">
      <c r="F82" s="51" t="s">
        <v>135</v>
      </c>
      <c r="G82" s="52">
        <v>573.18000000000006</v>
      </c>
    </row>
    <row r="83" spans="6:7" ht="13" hidden="1" outlineLevel="1" x14ac:dyDescent="0.3">
      <c r="F83" s="51" t="s">
        <v>137</v>
      </c>
      <c r="G83" s="52">
        <v>567</v>
      </c>
    </row>
    <row r="84" spans="6:7" ht="13" hidden="1" outlineLevel="1" x14ac:dyDescent="0.3">
      <c r="F84" s="51" t="s">
        <v>139</v>
      </c>
      <c r="G84" s="52">
        <v>546.63</v>
      </c>
    </row>
    <row r="85" spans="6:7" ht="13" hidden="1" outlineLevel="1" x14ac:dyDescent="0.3">
      <c r="F85" s="51" t="s">
        <v>141</v>
      </c>
      <c r="G85" s="52">
        <v>537</v>
      </c>
    </row>
    <row r="86" spans="6:7" ht="13" hidden="1" outlineLevel="1" x14ac:dyDescent="0.3">
      <c r="F86" s="51" t="s">
        <v>146</v>
      </c>
      <c r="G86" s="52">
        <v>534</v>
      </c>
    </row>
    <row r="87" spans="6:7" ht="13" hidden="1" outlineLevel="1" x14ac:dyDescent="0.3">
      <c r="F87" s="51" t="s">
        <v>148</v>
      </c>
      <c r="G87" s="52">
        <v>522.69000000000005</v>
      </c>
    </row>
    <row r="88" spans="6:7" ht="13" hidden="1" outlineLevel="1" x14ac:dyDescent="0.3">
      <c r="F88" s="51" t="s">
        <v>150</v>
      </c>
      <c r="G88" s="52">
        <v>500.5</v>
      </c>
    </row>
    <row r="89" spans="6:7" ht="13" hidden="1" outlineLevel="1" x14ac:dyDescent="0.3">
      <c r="F89" s="51" t="s">
        <v>152</v>
      </c>
      <c r="G89" s="52">
        <v>492</v>
      </c>
    </row>
    <row r="90" spans="6:7" ht="13" hidden="1" outlineLevel="1" x14ac:dyDescent="0.3">
      <c r="F90" s="51" t="s">
        <v>155</v>
      </c>
      <c r="G90" s="52">
        <v>486.78000000000003</v>
      </c>
    </row>
    <row r="91" spans="6:7" ht="13" hidden="1" outlineLevel="1" x14ac:dyDescent="0.3">
      <c r="F91" s="51" t="s">
        <v>159</v>
      </c>
      <c r="G91" s="52">
        <v>468.33000000000004</v>
      </c>
    </row>
    <row r="92" spans="6:7" ht="13" hidden="1" outlineLevel="1" x14ac:dyDescent="0.3">
      <c r="F92" s="51" t="s">
        <v>161</v>
      </c>
      <c r="G92" s="52">
        <v>461.5</v>
      </c>
    </row>
    <row r="93" spans="6:7" ht="13" hidden="1" outlineLevel="1" x14ac:dyDescent="0.3">
      <c r="F93" s="51" t="s">
        <v>165</v>
      </c>
      <c r="G93" s="52">
        <v>423</v>
      </c>
    </row>
    <row r="94" spans="6:7" ht="13" hidden="1" outlineLevel="1" x14ac:dyDescent="0.3">
      <c r="F94" s="51" t="s">
        <v>167</v>
      </c>
      <c r="G94" s="52">
        <v>422.5</v>
      </c>
    </row>
    <row r="95" spans="6:7" ht="13" hidden="1" outlineLevel="1" x14ac:dyDescent="0.3">
      <c r="F95" s="51" t="s">
        <v>170</v>
      </c>
      <c r="G95" s="52">
        <v>416</v>
      </c>
    </row>
    <row r="96" spans="6:7" ht="13" hidden="1" outlineLevel="1" x14ac:dyDescent="0.3">
      <c r="F96" s="51" t="s">
        <v>174</v>
      </c>
      <c r="G96" s="52">
        <v>409.59000000000003</v>
      </c>
    </row>
    <row r="97" spans="6:7" ht="13" hidden="1" outlineLevel="1" x14ac:dyDescent="0.3">
      <c r="F97" s="51" t="s">
        <v>176</v>
      </c>
      <c r="G97" s="52">
        <v>405</v>
      </c>
    </row>
    <row r="98" spans="6:7" ht="13" hidden="1" outlineLevel="1" x14ac:dyDescent="0.3">
      <c r="F98" s="51" t="s">
        <v>180</v>
      </c>
      <c r="G98" s="52">
        <v>382.5</v>
      </c>
    </row>
    <row r="99" spans="6:7" ht="13" hidden="1" outlineLevel="1" x14ac:dyDescent="0.3">
      <c r="F99" s="51" t="s">
        <v>183</v>
      </c>
      <c r="G99" s="52">
        <v>336</v>
      </c>
    </row>
    <row r="100" spans="6:7" ht="13" hidden="1" outlineLevel="1" x14ac:dyDescent="0.3">
      <c r="F100" s="51" t="s">
        <v>185</v>
      </c>
      <c r="G100" s="52">
        <v>319.20000000000005</v>
      </c>
    </row>
    <row r="101" spans="6:7" ht="13" hidden="1" outlineLevel="1" x14ac:dyDescent="0.3">
      <c r="F101" s="51" t="s">
        <v>187</v>
      </c>
      <c r="G101" s="52">
        <v>312</v>
      </c>
    </row>
    <row r="102" spans="6:7" ht="13" hidden="1" outlineLevel="1" x14ac:dyDescent="0.3">
      <c r="F102" s="51" t="s">
        <v>196</v>
      </c>
      <c r="G102" s="52">
        <v>276</v>
      </c>
    </row>
    <row r="103" spans="6:7" ht="13" hidden="1" outlineLevel="1" x14ac:dyDescent="0.3">
      <c r="F103" s="51" t="s">
        <v>191</v>
      </c>
      <c r="G103" s="52">
        <v>261</v>
      </c>
    </row>
    <row r="104" spans="6:7" ht="13" hidden="1" outlineLevel="1" x14ac:dyDescent="0.3">
      <c r="F104" s="51" t="s">
        <v>193</v>
      </c>
      <c r="G104" s="52">
        <v>259.35000000000002</v>
      </c>
    </row>
    <row r="105" spans="6:7" ht="13" hidden="1" outlineLevel="1" x14ac:dyDescent="0.3">
      <c r="F105" s="51" t="s">
        <v>198</v>
      </c>
      <c r="G105" s="52">
        <v>231</v>
      </c>
    </row>
    <row r="106" spans="6:7" ht="13" hidden="1" outlineLevel="1" x14ac:dyDescent="0.3">
      <c r="F106" s="51" t="s">
        <v>200</v>
      </c>
      <c r="G106" s="52">
        <v>227.43</v>
      </c>
    </row>
    <row r="107" spans="6:7" ht="13" hidden="1" outlineLevel="1" x14ac:dyDescent="0.3">
      <c r="F107" s="51" t="s">
        <v>202</v>
      </c>
      <c r="G107" s="52">
        <v>219.78</v>
      </c>
    </row>
    <row r="108" spans="6:7" ht="13" hidden="1" outlineLevel="1" x14ac:dyDescent="0.3">
      <c r="F108" s="51" t="s">
        <v>206</v>
      </c>
      <c r="G108" s="52">
        <v>143</v>
      </c>
    </row>
    <row r="109" spans="6:7" ht="13" hidden="1" outlineLevel="1" x14ac:dyDescent="0.3">
      <c r="F109" s="51" t="s">
        <v>208</v>
      </c>
      <c r="G109" s="52">
        <v>139.86000000000001</v>
      </c>
    </row>
    <row r="110" spans="6:7" ht="13" hidden="1" outlineLevel="1" x14ac:dyDescent="0.3">
      <c r="F110" s="51" t="s">
        <v>211</v>
      </c>
      <c r="G110" s="52">
        <v>111.72</v>
      </c>
    </row>
    <row r="111" spans="6:7" ht="13" hidden="1" outlineLevel="1" x14ac:dyDescent="0.3">
      <c r="F111" s="51" t="s">
        <v>215</v>
      </c>
      <c r="G111" s="52">
        <v>54</v>
      </c>
    </row>
    <row r="112" spans="6:7" ht="13" hidden="1" outlineLevel="1" x14ac:dyDescent="0.3">
      <c r="F112" s="51" t="s">
        <v>217</v>
      </c>
      <c r="G112" s="52">
        <v>45</v>
      </c>
    </row>
    <row r="113" spans="6:7" ht="13" hidden="1" outlineLevel="1" x14ac:dyDescent="0.3">
      <c r="F113" s="51" t="s">
        <v>222</v>
      </c>
      <c r="G113" s="52">
        <v>31.5</v>
      </c>
    </row>
    <row r="114" spans="6:7" ht="13" hidden="1" outlineLevel="1" x14ac:dyDescent="0.3">
      <c r="F114" s="51" t="s">
        <v>232</v>
      </c>
      <c r="G114" s="52">
        <v>82543.11000000003</v>
      </c>
    </row>
    <row r="115" spans="6:7" collapsed="1" x14ac:dyDescent="0.25"/>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ThisWorkbook.Slicer_Send_To_Answer_1">
                <anchor moveWithCells="1" sizeWithCells="1">
                  <from>
                    <xdr:col>11</xdr:col>
                    <xdr:colOff>114300</xdr:colOff>
                    <xdr:row>12</xdr:row>
                    <xdr:rowOff>76200</xdr:rowOff>
                  </from>
                  <to>
                    <xdr:col>14</xdr:col>
                    <xdr:colOff>241300</xdr:colOff>
                    <xdr:row>15</xdr:row>
                    <xdr:rowOff>114300</xdr:rowOff>
                  </to>
                </anchor>
              </controlPr>
            </control>
          </mc:Choice>
        </mc:AlternateContent>
        <mc:AlternateContent xmlns:mc="http://schemas.openxmlformats.org/markup-compatibility/2006">
          <mc:Choice Requires="x14">
            <control shapeId="17410" r:id="rId7" name="Button 2">
              <controlPr defaultSize="0" print="0" autoFill="0" autoPict="0" macro="[0]!ThisWorkbook.Slicer_Send_To_Answer_2">
                <anchor moveWithCells="1" sizeWithCells="1">
                  <from>
                    <xdr:col>11</xdr:col>
                    <xdr:colOff>184150</xdr:colOff>
                    <xdr:row>27</xdr:row>
                    <xdr:rowOff>107950</xdr:rowOff>
                  </from>
                  <to>
                    <xdr:col>14</xdr:col>
                    <xdr:colOff>298450</xdr:colOff>
                    <xdr:row>30</xdr:row>
                    <xdr:rowOff>146050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sheetPr>
  <dimension ref="A1:S148"/>
  <sheetViews>
    <sheetView showGridLines="0" zoomScale="80" workbookViewId="0">
      <selection activeCell="N29" sqref="N29"/>
    </sheetView>
  </sheetViews>
  <sheetFormatPr defaultColWidth="9.33203125" defaultRowHeight="12.5" outlineLevelRow="1" x14ac:dyDescent="0.25"/>
  <cols>
    <col min="1" max="5" width="9.33203125" style="2"/>
    <col min="6" max="6" width="31.33203125" style="2" customWidth="1"/>
    <col min="7" max="7" width="20.77734375" style="2" customWidth="1"/>
    <col min="8" max="8" width="15.33203125" style="2" customWidth="1"/>
    <col min="9" max="9" width="16" style="2" bestFit="1" customWidth="1"/>
    <col min="10" max="10" width="15.77734375" style="2" bestFit="1" customWidth="1"/>
    <col min="11" max="11" width="9.33203125" style="2" customWidth="1"/>
    <col min="12" max="12" width="9.33203125" style="2" bestFit="1" customWidth="1"/>
    <col min="13" max="16" width="9.33203125" style="2"/>
    <col min="17" max="17" width="31.33203125" style="2" customWidth="1"/>
    <col min="18" max="18" width="20.6640625" style="2" customWidth="1"/>
    <col min="19" max="19" width="20.77734375" style="2" bestFit="1" customWidth="1"/>
    <col min="20" max="16384" width="9.33203125" style="2"/>
  </cols>
  <sheetData>
    <row r="1" spans="1:18" ht="13" x14ac:dyDescent="0.3">
      <c r="A1" s="3" t="str">
        <f>Introduction!A1</f>
        <v>Problem Solving with Excel</v>
      </c>
    </row>
    <row r="2" spans="1:18" ht="13" x14ac:dyDescent="0.3">
      <c r="A2" s="3" t="str">
        <f>Introduction!A2</f>
        <v>Week 3</v>
      </c>
    </row>
    <row r="3" spans="1:18" ht="13" x14ac:dyDescent="0.3">
      <c r="A3" s="3" t="str">
        <f>Introduction!A3</f>
        <v>Pivot Tables</v>
      </c>
    </row>
    <row r="4" spans="1:18" ht="13" x14ac:dyDescent="0.3">
      <c r="A4" s="3" t="str">
        <f ca="1">MID(CELL("Filename",I7),SEARCH("]",CELL("Filename",I7),1)+1,100)</f>
        <v>Section 7 - Slicers (ANS)</v>
      </c>
    </row>
    <row r="5" spans="1:18" x14ac:dyDescent="0.25">
      <c r="P5" s="6"/>
    </row>
    <row r="6" spans="1:18" ht="13" x14ac:dyDescent="0.3">
      <c r="Q6"/>
      <c r="R6"/>
    </row>
    <row r="7" spans="1:18" ht="18.5" x14ac:dyDescent="0.45">
      <c r="B7" s="5" t="s">
        <v>311</v>
      </c>
    </row>
    <row r="8" spans="1:18" ht="13" outlineLevel="1" x14ac:dyDescent="0.3">
      <c r="F8" s="46" t="s">
        <v>312</v>
      </c>
      <c r="K8"/>
      <c r="L8"/>
      <c r="M8"/>
    </row>
    <row r="9" spans="1:18" ht="13" outlineLevel="1" x14ac:dyDescent="0.3">
      <c r="F9" s="50" t="s">
        <v>250</v>
      </c>
      <c r="G9" t="s">
        <v>234</v>
      </c>
      <c r="H9"/>
      <c r="K9"/>
      <c r="L9"/>
      <c r="M9"/>
    </row>
    <row r="10" spans="1:18" ht="13" outlineLevel="1" x14ac:dyDescent="0.3">
      <c r="F10" s="51" t="s">
        <v>237</v>
      </c>
      <c r="G10" s="52">
        <v>1440</v>
      </c>
      <c r="H10"/>
      <c r="K10"/>
      <c r="L10"/>
      <c r="M10"/>
    </row>
    <row r="11" spans="1:18" ht="13" outlineLevel="1" x14ac:dyDescent="0.3">
      <c r="F11" s="51" t="s">
        <v>245</v>
      </c>
      <c r="G11" s="52">
        <v>3016</v>
      </c>
      <c r="H11"/>
      <c r="I11"/>
      <c r="J11"/>
      <c r="K11"/>
      <c r="L11"/>
      <c r="M11"/>
    </row>
    <row r="12" spans="1:18" ht="13" outlineLevel="1" x14ac:dyDescent="0.3">
      <c r="F12" s="51" t="s">
        <v>232</v>
      </c>
      <c r="G12" s="52">
        <v>4456</v>
      </c>
      <c r="H12"/>
      <c r="I12"/>
      <c r="J12"/>
      <c r="K12"/>
      <c r="L12"/>
      <c r="M12"/>
    </row>
    <row r="13" spans="1:18" ht="13" outlineLevel="1" x14ac:dyDescent="0.3">
      <c r="F13"/>
      <c r="G13"/>
      <c r="H13"/>
      <c r="I13"/>
      <c r="J13"/>
      <c r="K13"/>
      <c r="L13"/>
      <c r="M13"/>
    </row>
    <row r="14" spans="1:18" ht="13" outlineLevel="1" x14ac:dyDescent="0.3">
      <c r="F14"/>
      <c r="G14"/>
      <c r="H14"/>
      <c r="I14"/>
      <c r="J14"/>
      <c r="K14"/>
      <c r="L14"/>
      <c r="M14"/>
    </row>
    <row r="15" spans="1:18" ht="13" outlineLevel="1" x14ac:dyDescent="0.3">
      <c r="F15"/>
      <c r="G15"/>
      <c r="H15"/>
      <c r="I15"/>
      <c r="J15"/>
      <c r="K15"/>
      <c r="L15"/>
      <c r="M15"/>
      <c r="Q15"/>
      <c r="R15"/>
    </row>
    <row r="16" spans="1:18" ht="13" outlineLevel="1" x14ac:dyDescent="0.3">
      <c r="F16"/>
      <c r="G16"/>
      <c r="H16"/>
      <c r="I16"/>
      <c r="J16"/>
      <c r="K16"/>
      <c r="L16"/>
      <c r="M16"/>
      <c r="Q16"/>
      <c r="R16"/>
    </row>
    <row r="17" spans="2:18" ht="13" outlineLevel="1" x14ac:dyDescent="0.3">
      <c r="F17"/>
      <c r="G17"/>
      <c r="H17"/>
      <c r="I17"/>
      <c r="J17"/>
      <c r="K17"/>
      <c r="L17"/>
      <c r="M17"/>
      <c r="Q17"/>
      <c r="R17"/>
    </row>
    <row r="18" spans="2:18" ht="13" outlineLevel="1" x14ac:dyDescent="0.3">
      <c r="F18"/>
      <c r="G18"/>
      <c r="H18"/>
      <c r="I18"/>
      <c r="J18"/>
      <c r="K18"/>
      <c r="L18"/>
      <c r="M18"/>
      <c r="Q18"/>
      <c r="R18"/>
    </row>
    <row r="19" spans="2:18" ht="13" outlineLevel="1" x14ac:dyDescent="0.3">
      <c r="F19"/>
      <c r="G19"/>
      <c r="H19"/>
      <c r="I19"/>
      <c r="J19"/>
      <c r="K19"/>
      <c r="L19"/>
      <c r="M19"/>
      <c r="Q19"/>
      <c r="R19"/>
    </row>
    <row r="20" spans="2:18" ht="13" outlineLevel="1" x14ac:dyDescent="0.3">
      <c r="F20"/>
      <c r="G20"/>
      <c r="H20"/>
      <c r="K20"/>
      <c r="L20"/>
      <c r="M20"/>
      <c r="Q20"/>
      <c r="R20"/>
    </row>
    <row r="21" spans="2:18" ht="13" outlineLevel="1" x14ac:dyDescent="0.3">
      <c r="F21"/>
      <c r="G21"/>
      <c r="H21"/>
      <c r="K21"/>
      <c r="L21"/>
      <c r="M21"/>
      <c r="Q21"/>
      <c r="R21"/>
    </row>
    <row r="22" spans="2:18" ht="13" outlineLevel="1" x14ac:dyDescent="0.3">
      <c r="K22"/>
      <c r="L22"/>
      <c r="M22"/>
      <c r="Q22"/>
      <c r="R22"/>
    </row>
    <row r="23" spans="2:18" ht="13" outlineLevel="1" x14ac:dyDescent="0.3">
      <c r="K23"/>
      <c r="L23"/>
      <c r="M23"/>
      <c r="Q23"/>
      <c r="R23"/>
    </row>
    <row r="24" spans="2:18" ht="13" outlineLevel="1" x14ac:dyDescent="0.3">
      <c r="Q24"/>
      <c r="R24"/>
    </row>
    <row r="25" spans="2:18" ht="13" outlineLevel="1" x14ac:dyDescent="0.3">
      <c r="Q25"/>
      <c r="R25"/>
    </row>
    <row r="26" spans="2:18" ht="18.5" x14ac:dyDescent="0.45">
      <c r="B26" s="5" t="s">
        <v>313</v>
      </c>
      <c r="Q26"/>
      <c r="R26"/>
    </row>
    <row r="27" spans="2:18" ht="13" outlineLevel="1" x14ac:dyDescent="0.3">
      <c r="F27" s="46" t="s">
        <v>314</v>
      </c>
      <c r="G27"/>
      <c r="Q27"/>
      <c r="R27"/>
    </row>
    <row r="28" spans="2:18" ht="13" outlineLevel="1" x14ac:dyDescent="0.3">
      <c r="B28"/>
      <c r="C28"/>
      <c r="D28"/>
      <c r="E28"/>
      <c r="F28" s="50" t="s">
        <v>8</v>
      </c>
      <c r="G28" t="s">
        <v>234</v>
      </c>
      <c r="H28"/>
      <c r="I28"/>
      <c r="M28"/>
      <c r="N28"/>
      <c r="Q28"/>
      <c r="R28"/>
    </row>
    <row r="29" spans="2:18" ht="13" outlineLevel="1" x14ac:dyDescent="0.3">
      <c r="B29"/>
      <c r="C29"/>
      <c r="D29"/>
      <c r="E29"/>
      <c r="F29" s="51" t="s">
        <v>17</v>
      </c>
      <c r="G29" s="52">
        <v>3016</v>
      </c>
      <c r="H29"/>
      <c r="I29"/>
      <c r="M29"/>
      <c r="N29"/>
      <c r="Q29"/>
      <c r="R29"/>
    </row>
    <row r="30" spans="2:18" ht="13" outlineLevel="1" x14ac:dyDescent="0.3">
      <c r="B30"/>
      <c r="C30"/>
      <c r="D30"/>
      <c r="E30"/>
      <c r="F30" s="51" t="s">
        <v>35</v>
      </c>
      <c r="G30" s="52">
        <v>2628.2699999999995</v>
      </c>
      <c r="H30"/>
      <c r="I30"/>
      <c r="M30"/>
      <c r="N30"/>
      <c r="Q30"/>
      <c r="R30"/>
    </row>
    <row r="31" spans="2:18" ht="13" outlineLevel="1" x14ac:dyDescent="0.3">
      <c r="B31"/>
      <c r="C31"/>
      <c r="D31"/>
      <c r="E31"/>
      <c r="F31" s="51" t="s">
        <v>24</v>
      </c>
      <c r="G31" s="52">
        <v>2552</v>
      </c>
      <c r="H31"/>
      <c r="I31"/>
      <c r="J31"/>
      <c r="K31"/>
      <c r="L31"/>
      <c r="M31"/>
      <c r="N31"/>
      <c r="Q31"/>
      <c r="R31"/>
    </row>
    <row r="32" spans="2:18" ht="13" outlineLevel="1" x14ac:dyDescent="0.3">
      <c r="B32"/>
      <c r="C32"/>
      <c r="D32"/>
      <c r="E32"/>
      <c r="F32" s="51" t="s">
        <v>29</v>
      </c>
      <c r="G32" s="52">
        <v>2407</v>
      </c>
      <c r="H32"/>
      <c r="I32"/>
      <c r="J32"/>
      <c r="K32"/>
      <c r="L32"/>
      <c r="M32"/>
      <c r="N32"/>
      <c r="Q32"/>
      <c r="R32"/>
    </row>
    <row r="33" spans="2:19" ht="13" outlineLevel="1" x14ac:dyDescent="0.3">
      <c r="B33"/>
      <c r="C33"/>
      <c r="D33"/>
      <c r="E33"/>
      <c r="F33" s="51" t="s">
        <v>31</v>
      </c>
      <c r="G33" s="52">
        <v>2276.5</v>
      </c>
      <c r="H33"/>
      <c r="I33"/>
      <c r="J33"/>
      <c r="K33"/>
      <c r="L33"/>
      <c r="M33"/>
      <c r="N33"/>
      <c r="Q33"/>
      <c r="R33"/>
    </row>
    <row r="34" spans="2:19" ht="13" outlineLevel="1" x14ac:dyDescent="0.3">
      <c r="B34"/>
      <c r="C34"/>
      <c r="D34"/>
      <c r="E34"/>
      <c r="F34" s="51" t="s">
        <v>80</v>
      </c>
      <c r="G34" s="52">
        <v>2106.0500000000002</v>
      </c>
      <c r="H34"/>
      <c r="I34"/>
      <c r="J34"/>
      <c r="K34"/>
      <c r="L34"/>
      <c r="M34"/>
      <c r="N34"/>
      <c r="Q34"/>
      <c r="R34"/>
    </row>
    <row r="35" spans="2:19" ht="13" outlineLevel="1" x14ac:dyDescent="0.3">
      <c r="B35"/>
      <c r="C35"/>
      <c r="D35"/>
      <c r="E35"/>
      <c r="F35" s="51" t="s">
        <v>33</v>
      </c>
      <c r="G35" s="52">
        <v>2059</v>
      </c>
      <c r="H35"/>
      <c r="I35"/>
      <c r="J35"/>
      <c r="K35"/>
      <c r="L35"/>
      <c r="M35"/>
      <c r="N35"/>
      <c r="Q35"/>
      <c r="R35"/>
    </row>
    <row r="36" spans="2:19" ht="13" outlineLevel="1" x14ac:dyDescent="0.3">
      <c r="B36"/>
      <c r="C36"/>
      <c r="D36"/>
      <c r="E36"/>
      <c r="F36" s="51" t="s">
        <v>38</v>
      </c>
      <c r="G36" s="52">
        <v>1845</v>
      </c>
      <c r="H36"/>
      <c r="I36"/>
      <c r="J36"/>
      <c r="K36"/>
      <c r="L36"/>
      <c r="M36"/>
      <c r="N36"/>
      <c r="Q36"/>
      <c r="R36"/>
    </row>
    <row r="37" spans="2:19" ht="13" outlineLevel="1" x14ac:dyDescent="0.3">
      <c r="B37"/>
      <c r="C37"/>
      <c r="D37"/>
      <c r="E37"/>
      <c r="F37" s="51" t="s">
        <v>41</v>
      </c>
      <c r="G37" s="52">
        <v>1791</v>
      </c>
      <c r="H37"/>
      <c r="I37"/>
      <c r="J37"/>
      <c r="K37"/>
      <c r="L37"/>
      <c r="M37"/>
      <c r="N37"/>
      <c r="Q37"/>
      <c r="R37"/>
    </row>
    <row r="38" spans="2:19" ht="13" outlineLevel="1" x14ac:dyDescent="0.3">
      <c r="B38"/>
      <c r="C38"/>
      <c r="D38"/>
      <c r="E38"/>
      <c r="F38" s="51" t="s">
        <v>43</v>
      </c>
      <c r="G38" s="52">
        <v>1692</v>
      </c>
      <c r="H38"/>
      <c r="I38"/>
      <c r="J38"/>
      <c r="K38"/>
      <c r="L38"/>
      <c r="M38"/>
      <c r="N38"/>
      <c r="Q38"/>
      <c r="R38"/>
    </row>
    <row r="39" spans="2:19" ht="13" outlineLevel="1" x14ac:dyDescent="0.3">
      <c r="B39"/>
      <c r="C39"/>
      <c r="D39"/>
      <c r="E39"/>
      <c r="F39" s="51" t="s">
        <v>45</v>
      </c>
      <c r="G39" s="52">
        <v>1692</v>
      </c>
      <c r="H39"/>
      <c r="I39"/>
      <c r="J39"/>
      <c r="K39"/>
      <c r="L39"/>
      <c r="M39"/>
      <c r="N39"/>
    </row>
    <row r="40" spans="2:19" ht="13" outlineLevel="1" x14ac:dyDescent="0.3">
      <c r="B40"/>
      <c r="C40"/>
      <c r="D40"/>
      <c r="E40"/>
      <c r="F40" s="51" t="s">
        <v>47</v>
      </c>
      <c r="G40" s="52">
        <v>1668.33</v>
      </c>
      <c r="H40"/>
      <c r="I40"/>
      <c r="J40"/>
      <c r="K40"/>
      <c r="L40"/>
      <c r="M40"/>
      <c r="N40"/>
    </row>
    <row r="41" spans="2:19" ht="13" outlineLevel="1" x14ac:dyDescent="0.3">
      <c r="B41"/>
      <c r="C41"/>
      <c r="D41"/>
      <c r="E41"/>
      <c r="F41" s="51" t="s">
        <v>49</v>
      </c>
      <c r="G41" s="52">
        <v>1628.3700000000001</v>
      </c>
      <c r="H41"/>
      <c r="I41"/>
      <c r="J41"/>
      <c r="K41"/>
      <c r="L41"/>
      <c r="M41"/>
      <c r="N41"/>
      <c r="S41"/>
    </row>
    <row r="42" spans="2:19" ht="13" outlineLevel="1" x14ac:dyDescent="0.3">
      <c r="B42"/>
      <c r="C42"/>
      <c r="D42"/>
      <c r="E42"/>
      <c r="F42" s="51" t="s">
        <v>51</v>
      </c>
      <c r="G42" s="52">
        <v>1530</v>
      </c>
      <c r="H42"/>
      <c r="I42"/>
      <c r="J42"/>
      <c r="K42"/>
      <c r="L42"/>
      <c r="M42"/>
      <c r="N42"/>
      <c r="S42"/>
    </row>
    <row r="43" spans="2:19" ht="13" outlineLevel="1" x14ac:dyDescent="0.3">
      <c r="B43"/>
      <c r="C43"/>
      <c r="D43"/>
      <c r="E43"/>
      <c r="F43" s="51" t="s">
        <v>53</v>
      </c>
      <c r="G43" s="52">
        <v>1479</v>
      </c>
      <c r="H43"/>
      <c r="I43"/>
      <c r="J43"/>
      <c r="K43"/>
      <c r="L43"/>
      <c r="M43"/>
      <c r="N43"/>
      <c r="Q43"/>
      <c r="R43"/>
      <c r="S43"/>
    </row>
    <row r="44" spans="2:19" ht="13" outlineLevel="1" x14ac:dyDescent="0.3">
      <c r="B44"/>
      <c r="C44"/>
      <c r="D44"/>
      <c r="E44"/>
      <c r="F44" s="51" t="s">
        <v>55</v>
      </c>
      <c r="G44" s="52">
        <v>1440</v>
      </c>
      <c r="H44"/>
      <c r="I44"/>
      <c r="J44"/>
      <c r="K44"/>
      <c r="L44"/>
      <c r="M44"/>
      <c r="N44"/>
      <c r="Q44"/>
      <c r="R44"/>
      <c r="S44"/>
    </row>
    <row r="45" spans="2:19" ht="13" outlineLevel="1" x14ac:dyDescent="0.3">
      <c r="B45"/>
      <c r="C45"/>
      <c r="D45"/>
      <c r="E45"/>
      <c r="F45" s="51" t="s">
        <v>57</v>
      </c>
      <c r="G45" s="52">
        <v>1425.96</v>
      </c>
      <c r="H45"/>
      <c r="I45"/>
      <c r="J45"/>
      <c r="K45"/>
      <c r="L45"/>
      <c r="M45"/>
      <c r="N45"/>
      <c r="Q45"/>
      <c r="R45"/>
      <c r="S45"/>
    </row>
    <row r="46" spans="2:19" ht="13" outlineLevel="1" x14ac:dyDescent="0.3">
      <c r="B46"/>
      <c r="F46" s="51" t="s">
        <v>62</v>
      </c>
      <c r="G46" s="52">
        <v>1323</v>
      </c>
      <c r="H46"/>
      <c r="K46"/>
      <c r="L46"/>
      <c r="M46"/>
      <c r="N46"/>
      <c r="Q46"/>
      <c r="R46"/>
      <c r="S46"/>
    </row>
    <row r="47" spans="2:19" ht="13" outlineLevel="1" x14ac:dyDescent="0.3">
      <c r="B47"/>
      <c r="F47" s="51" t="s">
        <v>73</v>
      </c>
      <c r="G47" s="52">
        <v>1293</v>
      </c>
      <c r="H47"/>
      <c r="I47"/>
      <c r="J47"/>
      <c r="K47"/>
      <c r="L47"/>
      <c r="M47"/>
      <c r="N47"/>
      <c r="Q47"/>
      <c r="R47"/>
      <c r="S47"/>
    </row>
    <row r="48" spans="2:19" ht="13" outlineLevel="1" x14ac:dyDescent="0.3">
      <c r="B48"/>
      <c r="F48" s="51" t="s">
        <v>64</v>
      </c>
      <c r="G48" s="52">
        <v>1286.1600000000001</v>
      </c>
      <c r="H48"/>
      <c r="K48"/>
      <c r="L48"/>
      <c r="M48"/>
      <c r="N48"/>
      <c r="Q48"/>
      <c r="R48"/>
      <c r="S48"/>
    </row>
    <row r="49" spans="2:19" ht="13" outlineLevel="1" x14ac:dyDescent="0.3">
      <c r="B49"/>
      <c r="F49" s="51" t="s">
        <v>66</v>
      </c>
      <c r="G49" s="52">
        <v>1269</v>
      </c>
      <c r="H49"/>
      <c r="K49"/>
      <c r="L49"/>
      <c r="M49"/>
      <c r="N49"/>
      <c r="Q49"/>
      <c r="R49"/>
      <c r="S49"/>
    </row>
    <row r="50" spans="2:19" ht="13" outlineLevel="1" x14ac:dyDescent="0.3">
      <c r="B50"/>
      <c r="C50"/>
      <c r="D50"/>
      <c r="E50"/>
      <c r="F50" s="51" t="s">
        <v>68</v>
      </c>
      <c r="G50" s="52">
        <v>1215</v>
      </c>
      <c r="H50"/>
      <c r="I50"/>
      <c r="J50"/>
      <c r="K50"/>
      <c r="L50"/>
      <c r="M50"/>
      <c r="N50"/>
      <c r="Q50"/>
      <c r="R50"/>
      <c r="S50"/>
    </row>
    <row r="51" spans="2:19" ht="13" outlineLevel="1" x14ac:dyDescent="0.3">
      <c r="B51"/>
      <c r="C51"/>
      <c r="D51"/>
      <c r="E51"/>
      <c r="F51" s="51" t="s">
        <v>70</v>
      </c>
      <c r="G51" s="52">
        <v>1144</v>
      </c>
      <c r="H51"/>
      <c r="I51"/>
      <c r="J51"/>
      <c r="K51"/>
      <c r="L51"/>
      <c r="M51"/>
      <c r="N51"/>
      <c r="Q51"/>
      <c r="R51"/>
      <c r="S51"/>
    </row>
    <row r="52" spans="2:19" ht="13" outlineLevel="1" x14ac:dyDescent="0.3">
      <c r="B52"/>
      <c r="C52"/>
      <c r="D52"/>
      <c r="E52"/>
      <c r="F52" s="51" t="s">
        <v>76</v>
      </c>
      <c r="G52" s="52">
        <v>1058.5</v>
      </c>
      <c r="H52"/>
      <c r="I52"/>
      <c r="J52"/>
      <c r="K52"/>
      <c r="L52"/>
      <c r="M52"/>
      <c r="N52"/>
      <c r="Q52"/>
      <c r="R52"/>
      <c r="S52"/>
    </row>
    <row r="53" spans="2:19" ht="13" outlineLevel="1" x14ac:dyDescent="0.3">
      <c r="B53"/>
      <c r="C53"/>
      <c r="D53"/>
      <c r="E53"/>
      <c r="F53" s="51" t="s">
        <v>78</v>
      </c>
      <c r="G53" s="52">
        <v>1044</v>
      </c>
      <c r="H53"/>
      <c r="I53"/>
      <c r="J53"/>
      <c r="K53"/>
      <c r="L53"/>
      <c r="M53"/>
      <c r="N53"/>
      <c r="Q53"/>
      <c r="R53"/>
      <c r="S53"/>
    </row>
    <row r="54" spans="2:19" ht="13" outlineLevel="1" x14ac:dyDescent="0.3">
      <c r="B54"/>
      <c r="C54"/>
      <c r="D54"/>
      <c r="E54"/>
      <c r="F54" s="51" t="s">
        <v>117</v>
      </c>
      <c r="G54" s="52">
        <v>1037.08</v>
      </c>
      <c r="H54"/>
      <c r="I54"/>
      <c r="J54"/>
      <c r="K54"/>
      <c r="L54"/>
      <c r="M54"/>
      <c r="N54"/>
      <c r="Q54"/>
      <c r="R54"/>
      <c r="S54"/>
    </row>
    <row r="55" spans="2:19" ht="13" outlineLevel="1" x14ac:dyDescent="0.3">
      <c r="B55"/>
      <c r="C55"/>
      <c r="D55"/>
      <c r="E55"/>
      <c r="F55" s="51" t="s">
        <v>82</v>
      </c>
      <c r="G55" s="52">
        <v>913.5</v>
      </c>
      <c r="H55"/>
      <c r="I55"/>
      <c r="J55"/>
      <c r="K55"/>
      <c r="L55"/>
      <c r="M55"/>
      <c r="N55"/>
      <c r="Q55"/>
      <c r="R55"/>
      <c r="S55"/>
    </row>
    <row r="56" spans="2:19" ht="13" outlineLevel="1" x14ac:dyDescent="0.3">
      <c r="B56"/>
      <c r="C56"/>
      <c r="D56"/>
      <c r="E56"/>
      <c r="F56" s="51" t="s">
        <v>133</v>
      </c>
      <c r="G56" s="52">
        <v>907.16</v>
      </c>
      <c r="H56"/>
      <c r="I56"/>
      <c r="J56"/>
      <c r="K56"/>
      <c r="L56"/>
      <c r="M56"/>
      <c r="N56"/>
      <c r="Q56"/>
      <c r="R56"/>
      <c r="S56"/>
    </row>
    <row r="57" spans="2:19" ht="13" outlineLevel="1" x14ac:dyDescent="0.3">
      <c r="B57"/>
      <c r="C57"/>
      <c r="D57"/>
      <c r="E57"/>
      <c r="F57" s="51" t="s">
        <v>89</v>
      </c>
      <c r="G57" s="52">
        <v>873.75</v>
      </c>
      <c r="H57"/>
      <c r="I57"/>
      <c r="J57"/>
      <c r="K57"/>
      <c r="L57"/>
      <c r="M57"/>
      <c r="N57"/>
      <c r="Q57"/>
      <c r="R57"/>
      <c r="S57"/>
    </row>
    <row r="58" spans="2:19" ht="13" outlineLevel="1" x14ac:dyDescent="0.3">
      <c r="B58"/>
      <c r="C58"/>
      <c r="D58"/>
      <c r="E58"/>
      <c r="F58" s="51" t="s">
        <v>91</v>
      </c>
      <c r="G58" s="52">
        <v>850.5</v>
      </c>
      <c r="H58"/>
      <c r="I58"/>
      <c r="J58"/>
      <c r="K58"/>
      <c r="L58"/>
      <c r="M58"/>
      <c r="N58"/>
      <c r="Q58"/>
      <c r="R58"/>
      <c r="S58"/>
    </row>
    <row r="59" spans="2:19" ht="13" outlineLevel="1" x14ac:dyDescent="0.3">
      <c r="B59"/>
      <c r="C59"/>
      <c r="D59"/>
      <c r="E59"/>
      <c r="F59" s="51" t="s">
        <v>144</v>
      </c>
      <c r="G59" s="52">
        <v>836.5</v>
      </c>
      <c r="H59"/>
      <c r="I59"/>
      <c r="J59"/>
      <c r="K59"/>
      <c r="L59"/>
      <c r="M59"/>
      <c r="N59"/>
      <c r="Q59"/>
      <c r="R59"/>
      <c r="S59"/>
    </row>
    <row r="60" spans="2:19" ht="13" outlineLevel="1" x14ac:dyDescent="0.3">
      <c r="B60"/>
      <c r="C60"/>
      <c r="D60"/>
      <c r="E60"/>
      <c r="F60" s="51" t="s">
        <v>93</v>
      </c>
      <c r="G60" s="52">
        <v>819</v>
      </c>
      <c r="H60"/>
      <c r="I60"/>
      <c r="J60"/>
      <c r="K60"/>
      <c r="L60"/>
      <c r="M60"/>
      <c r="N60"/>
      <c r="Q60"/>
      <c r="R60"/>
      <c r="S60"/>
    </row>
    <row r="61" spans="2:19" ht="13" outlineLevel="1" x14ac:dyDescent="0.3">
      <c r="B61"/>
      <c r="C61"/>
      <c r="D61"/>
      <c r="E61"/>
      <c r="F61" s="51" t="s">
        <v>163</v>
      </c>
      <c r="G61" s="52">
        <v>807</v>
      </c>
      <c r="H61"/>
      <c r="I61"/>
      <c r="J61"/>
      <c r="K61"/>
      <c r="L61"/>
      <c r="M61"/>
      <c r="N61"/>
      <c r="Q61"/>
      <c r="R61"/>
      <c r="S61"/>
    </row>
    <row r="62" spans="2:19" ht="13" outlineLevel="1" x14ac:dyDescent="0.3">
      <c r="B62"/>
      <c r="C62"/>
      <c r="D62"/>
      <c r="E62"/>
      <c r="F62" s="51" t="s">
        <v>95</v>
      </c>
      <c r="G62" s="52">
        <v>801.99</v>
      </c>
      <c r="H62"/>
      <c r="I62"/>
      <c r="J62"/>
      <c r="K62"/>
      <c r="L62"/>
      <c r="M62"/>
      <c r="N62"/>
      <c r="Q62"/>
      <c r="R62"/>
      <c r="S62"/>
    </row>
    <row r="63" spans="2:19" ht="13" outlineLevel="1" x14ac:dyDescent="0.3">
      <c r="B63"/>
      <c r="C63"/>
      <c r="D63"/>
      <c r="E63"/>
      <c r="F63" s="51" t="s">
        <v>98</v>
      </c>
      <c r="G63" s="52">
        <v>801</v>
      </c>
      <c r="H63"/>
      <c r="I63"/>
      <c r="J63"/>
      <c r="K63"/>
      <c r="L63"/>
      <c r="M63"/>
      <c r="N63"/>
      <c r="Q63"/>
      <c r="R63"/>
      <c r="S63"/>
    </row>
    <row r="64" spans="2:19" ht="13" outlineLevel="1" x14ac:dyDescent="0.3">
      <c r="B64"/>
      <c r="C64"/>
      <c r="D64"/>
      <c r="E64"/>
      <c r="F64" s="51" t="s">
        <v>100</v>
      </c>
      <c r="G64" s="52">
        <v>754.92000000000007</v>
      </c>
      <c r="H64"/>
      <c r="I64"/>
      <c r="J64"/>
      <c r="K64"/>
      <c r="L64"/>
      <c r="M64"/>
      <c r="N64"/>
      <c r="Q64"/>
      <c r="R64"/>
      <c r="S64"/>
    </row>
    <row r="65" spans="2:19" ht="13" outlineLevel="1" x14ac:dyDescent="0.3">
      <c r="B65"/>
      <c r="C65"/>
      <c r="D65"/>
      <c r="E65"/>
      <c r="F65" s="51" t="s">
        <v>104</v>
      </c>
      <c r="G65" s="52">
        <v>742.5</v>
      </c>
      <c r="H65"/>
      <c r="I65"/>
      <c r="J65"/>
      <c r="K65"/>
      <c r="L65"/>
      <c r="M65"/>
      <c r="N65"/>
      <c r="Q65"/>
      <c r="R65"/>
      <c r="S65"/>
    </row>
    <row r="66" spans="2:19" ht="13" outlineLevel="1" x14ac:dyDescent="0.3">
      <c r="B66"/>
      <c r="C66"/>
      <c r="D66"/>
      <c r="E66"/>
      <c r="F66" s="51" t="s">
        <v>125</v>
      </c>
      <c r="G66" s="52">
        <v>732.87</v>
      </c>
      <c r="H66"/>
      <c r="I66"/>
      <c r="J66"/>
      <c r="K66"/>
      <c r="L66"/>
      <c r="M66"/>
      <c r="N66"/>
      <c r="Q66"/>
      <c r="R66"/>
      <c r="S66"/>
    </row>
    <row r="67" spans="2:19" ht="13" outlineLevel="1" x14ac:dyDescent="0.3">
      <c r="B67"/>
      <c r="C67"/>
      <c r="D67"/>
      <c r="E67"/>
      <c r="F67" s="51" t="s">
        <v>113</v>
      </c>
      <c r="G67" s="52">
        <v>717</v>
      </c>
      <c r="H67"/>
      <c r="I67"/>
      <c r="J67"/>
      <c r="K67"/>
      <c r="L67"/>
      <c r="M67"/>
      <c r="N67"/>
      <c r="Q67"/>
      <c r="R67"/>
      <c r="S67"/>
    </row>
    <row r="68" spans="2:19" ht="13" outlineLevel="1" x14ac:dyDescent="0.3">
      <c r="B68"/>
      <c r="C68"/>
      <c r="D68"/>
      <c r="E68"/>
      <c r="F68" s="51" t="s">
        <v>121</v>
      </c>
      <c r="G68" s="52">
        <v>714.45</v>
      </c>
      <c r="H68"/>
      <c r="I68"/>
      <c r="J68"/>
      <c r="K68"/>
      <c r="L68"/>
      <c r="M68"/>
      <c r="N68"/>
      <c r="Q68"/>
      <c r="R68"/>
      <c r="S68"/>
    </row>
    <row r="69" spans="2:19" ht="13" outlineLevel="1" x14ac:dyDescent="0.3">
      <c r="B69"/>
      <c r="C69"/>
      <c r="D69"/>
      <c r="E69"/>
      <c r="F69" s="51" t="s">
        <v>109</v>
      </c>
      <c r="G69" s="52">
        <v>678.30000000000007</v>
      </c>
      <c r="H69"/>
      <c r="I69"/>
      <c r="J69"/>
      <c r="K69"/>
      <c r="L69"/>
      <c r="M69"/>
      <c r="N69"/>
      <c r="Q69"/>
      <c r="R69"/>
      <c r="S69"/>
    </row>
    <row r="70" spans="2:19" ht="13" outlineLevel="1" x14ac:dyDescent="0.3">
      <c r="B70"/>
      <c r="C70"/>
      <c r="D70"/>
      <c r="E70"/>
      <c r="F70" s="51" t="s">
        <v>111</v>
      </c>
      <c r="G70" s="52">
        <v>678</v>
      </c>
      <c r="H70"/>
      <c r="I70"/>
      <c r="J70"/>
      <c r="K70"/>
      <c r="L70"/>
      <c r="M70"/>
      <c r="N70"/>
      <c r="Q70"/>
      <c r="R70"/>
      <c r="S70"/>
    </row>
    <row r="71" spans="2:19" ht="13" outlineLevel="1" x14ac:dyDescent="0.3">
      <c r="B71"/>
      <c r="C71"/>
      <c r="D71"/>
      <c r="E71"/>
      <c r="F71" s="51" t="s">
        <v>178</v>
      </c>
      <c r="G71" s="52">
        <v>645.63</v>
      </c>
      <c r="H71"/>
      <c r="I71"/>
      <c r="J71"/>
      <c r="K71"/>
      <c r="L71"/>
      <c r="M71"/>
      <c r="N71"/>
      <c r="Q71"/>
      <c r="R71"/>
      <c r="S71"/>
    </row>
    <row r="72" spans="2:19" ht="13" outlineLevel="1" x14ac:dyDescent="0.3">
      <c r="B72"/>
      <c r="C72"/>
      <c r="D72"/>
      <c r="E72"/>
      <c r="F72" s="51" t="s">
        <v>115</v>
      </c>
      <c r="G72" s="52">
        <v>621</v>
      </c>
      <c r="H72"/>
      <c r="I72"/>
      <c r="J72"/>
      <c r="K72"/>
      <c r="L72"/>
      <c r="M72"/>
      <c r="N72"/>
      <c r="Q72"/>
      <c r="R72"/>
      <c r="S72"/>
    </row>
    <row r="73" spans="2:19" ht="13" outlineLevel="1" x14ac:dyDescent="0.3">
      <c r="B73"/>
      <c r="C73"/>
      <c r="D73"/>
      <c r="E73"/>
      <c r="F73" s="51" t="s">
        <v>119</v>
      </c>
      <c r="G73" s="52">
        <v>617.5</v>
      </c>
      <c r="H73"/>
      <c r="I73"/>
      <c r="J73"/>
      <c r="K73"/>
      <c r="L73"/>
      <c r="M73"/>
      <c r="N73"/>
      <c r="Q73"/>
      <c r="R73"/>
      <c r="S73"/>
    </row>
    <row r="74" spans="2:19" ht="13" outlineLevel="1" x14ac:dyDescent="0.3">
      <c r="B74"/>
      <c r="C74"/>
      <c r="D74"/>
      <c r="E74"/>
      <c r="F74" s="51" t="s">
        <v>123</v>
      </c>
      <c r="G74" s="52">
        <v>604.5</v>
      </c>
      <c r="H74"/>
      <c r="I74"/>
      <c r="J74"/>
      <c r="K74"/>
      <c r="L74"/>
      <c r="M74"/>
      <c r="N74"/>
      <c r="Q74"/>
      <c r="R74"/>
      <c r="S74"/>
    </row>
    <row r="75" spans="2:19" ht="13" outlineLevel="1" x14ac:dyDescent="0.3">
      <c r="B75"/>
      <c r="C75"/>
      <c r="D75"/>
      <c r="E75"/>
      <c r="F75" s="51" t="s">
        <v>127</v>
      </c>
      <c r="G75" s="52">
        <v>602.49</v>
      </c>
      <c r="H75"/>
      <c r="I75"/>
      <c r="J75"/>
      <c r="K75"/>
      <c r="L75"/>
      <c r="M75"/>
      <c r="N75"/>
      <c r="Q75"/>
      <c r="R75"/>
      <c r="S75"/>
    </row>
    <row r="76" spans="2:19" ht="13" outlineLevel="1" x14ac:dyDescent="0.3">
      <c r="B76"/>
      <c r="C76"/>
      <c r="D76"/>
      <c r="E76"/>
      <c r="F76" s="51" t="s">
        <v>129</v>
      </c>
      <c r="G76" s="52">
        <v>600</v>
      </c>
      <c r="H76"/>
      <c r="I76"/>
      <c r="J76"/>
      <c r="K76"/>
      <c r="L76"/>
      <c r="M76"/>
      <c r="N76"/>
      <c r="Q76"/>
      <c r="R76"/>
      <c r="S76"/>
    </row>
    <row r="77" spans="2:19" ht="13" outlineLevel="1" x14ac:dyDescent="0.3">
      <c r="B77"/>
      <c r="C77"/>
      <c r="D77"/>
      <c r="E77"/>
      <c r="F77" s="51" t="s">
        <v>135</v>
      </c>
      <c r="G77" s="52">
        <v>573.18000000000006</v>
      </c>
      <c r="H77"/>
      <c r="I77"/>
      <c r="J77"/>
      <c r="K77"/>
      <c r="L77"/>
      <c r="M77"/>
      <c r="N77"/>
      <c r="Q77"/>
      <c r="R77"/>
      <c r="S77"/>
    </row>
    <row r="78" spans="2:19" ht="13" outlineLevel="1" x14ac:dyDescent="0.3">
      <c r="B78"/>
      <c r="C78"/>
      <c r="D78"/>
      <c r="E78"/>
      <c r="F78" s="51" t="s">
        <v>137</v>
      </c>
      <c r="G78" s="52">
        <v>567</v>
      </c>
      <c r="H78"/>
      <c r="I78"/>
      <c r="J78"/>
      <c r="K78"/>
      <c r="L78"/>
      <c r="M78"/>
      <c r="N78"/>
      <c r="Q78"/>
      <c r="R78"/>
      <c r="S78"/>
    </row>
    <row r="79" spans="2:19" ht="13" outlineLevel="1" x14ac:dyDescent="0.3">
      <c r="B79"/>
      <c r="C79"/>
      <c r="D79"/>
      <c r="E79"/>
      <c r="F79" s="51" t="s">
        <v>139</v>
      </c>
      <c r="G79" s="52">
        <v>546.63</v>
      </c>
      <c r="H79"/>
      <c r="I79"/>
      <c r="J79"/>
      <c r="K79"/>
      <c r="L79"/>
      <c r="M79"/>
      <c r="N79"/>
      <c r="Q79"/>
      <c r="R79"/>
      <c r="S79"/>
    </row>
    <row r="80" spans="2:19" ht="13" outlineLevel="1" x14ac:dyDescent="0.3">
      <c r="B80"/>
      <c r="C80"/>
      <c r="D80"/>
      <c r="E80"/>
      <c r="F80" s="51" t="s">
        <v>141</v>
      </c>
      <c r="G80" s="52">
        <v>537</v>
      </c>
      <c r="H80"/>
      <c r="I80"/>
      <c r="J80"/>
      <c r="K80"/>
      <c r="L80"/>
      <c r="M80"/>
      <c r="N80"/>
      <c r="Q80"/>
      <c r="R80"/>
      <c r="S80"/>
    </row>
    <row r="81" spans="2:19" ht="13" outlineLevel="1" x14ac:dyDescent="0.3">
      <c r="B81"/>
      <c r="C81"/>
      <c r="D81"/>
      <c r="E81"/>
      <c r="F81" s="51" t="s">
        <v>146</v>
      </c>
      <c r="G81" s="52">
        <v>534</v>
      </c>
      <c r="H81"/>
      <c r="I81"/>
      <c r="J81"/>
      <c r="K81"/>
      <c r="L81"/>
      <c r="M81"/>
      <c r="N81"/>
      <c r="Q81"/>
      <c r="R81"/>
      <c r="S81"/>
    </row>
    <row r="82" spans="2:19" ht="13" outlineLevel="1" x14ac:dyDescent="0.3">
      <c r="B82"/>
      <c r="C82"/>
      <c r="D82"/>
      <c r="E82"/>
      <c r="F82" s="51" t="s">
        <v>148</v>
      </c>
      <c r="G82" s="52">
        <v>522.69000000000005</v>
      </c>
      <c r="H82"/>
      <c r="I82"/>
      <c r="J82"/>
      <c r="K82"/>
      <c r="L82"/>
      <c r="M82"/>
      <c r="N82"/>
      <c r="Q82"/>
      <c r="R82"/>
      <c r="S82"/>
    </row>
    <row r="83" spans="2:19" ht="13" outlineLevel="1" x14ac:dyDescent="0.3">
      <c r="B83"/>
      <c r="C83"/>
      <c r="D83"/>
      <c r="E83"/>
      <c r="F83" s="51" t="s">
        <v>150</v>
      </c>
      <c r="G83" s="52">
        <v>500.5</v>
      </c>
      <c r="H83"/>
      <c r="I83"/>
      <c r="J83"/>
      <c r="K83"/>
      <c r="L83"/>
      <c r="M83"/>
      <c r="N83"/>
      <c r="Q83"/>
      <c r="R83"/>
      <c r="S83"/>
    </row>
    <row r="84" spans="2:19" ht="13" outlineLevel="1" x14ac:dyDescent="0.3">
      <c r="B84"/>
      <c r="C84"/>
      <c r="D84"/>
      <c r="E84"/>
      <c r="F84" s="51" t="s">
        <v>152</v>
      </c>
      <c r="G84" s="52">
        <v>492</v>
      </c>
      <c r="H84"/>
      <c r="I84"/>
      <c r="J84"/>
      <c r="K84"/>
      <c r="L84"/>
      <c r="M84"/>
      <c r="N84"/>
      <c r="Q84"/>
      <c r="R84"/>
      <c r="S84"/>
    </row>
    <row r="85" spans="2:19" ht="13" outlineLevel="1" x14ac:dyDescent="0.3">
      <c r="B85"/>
      <c r="C85"/>
      <c r="D85"/>
      <c r="E85"/>
      <c r="F85" s="51" t="s">
        <v>155</v>
      </c>
      <c r="G85" s="52">
        <v>486.78000000000003</v>
      </c>
      <c r="H85"/>
      <c r="I85"/>
      <c r="J85"/>
      <c r="K85"/>
      <c r="L85"/>
      <c r="M85"/>
      <c r="N85"/>
      <c r="Q85"/>
      <c r="R85"/>
      <c r="S85"/>
    </row>
    <row r="86" spans="2:19" ht="13" outlineLevel="1" x14ac:dyDescent="0.3">
      <c r="B86"/>
      <c r="C86"/>
      <c r="D86"/>
      <c r="E86"/>
      <c r="F86" s="51" t="s">
        <v>87</v>
      </c>
      <c r="G86" s="52">
        <v>477</v>
      </c>
      <c r="H86"/>
      <c r="I86"/>
      <c r="J86"/>
      <c r="K86"/>
      <c r="L86"/>
      <c r="M86"/>
      <c r="N86"/>
      <c r="Q86"/>
      <c r="R86"/>
      <c r="S86"/>
    </row>
    <row r="87" spans="2:19" ht="13" outlineLevel="1" x14ac:dyDescent="0.3">
      <c r="B87"/>
      <c r="C87"/>
      <c r="D87"/>
      <c r="E87"/>
      <c r="F87" s="51" t="s">
        <v>159</v>
      </c>
      <c r="G87" s="52">
        <v>468.33000000000004</v>
      </c>
      <c r="H87"/>
      <c r="I87"/>
      <c r="J87"/>
      <c r="K87"/>
      <c r="L87"/>
      <c r="M87"/>
      <c r="N87"/>
      <c r="Q87"/>
      <c r="R87"/>
      <c r="S87"/>
    </row>
    <row r="88" spans="2:19" ht="13" outlineLevel="1" x14ac:dyDescent="0.3">
      <c r="B88"/>
      <c r="C88"/>
      <c r="D88"/>
      <c r="E88"/>
      <c r="F88" s="51" t="s">
        <v>165</v>
      </c>
      <c r="G88" s="52">
        <v>423</v>
      </c>
      <c r="H88"/>
      <c r="I88"/>
      <c r="J88"/>
      <c r="K88"/>
      <c r="L88"/>
      <c r="M88"/>
      <c r="N88"/>
      <c r="Q88"/>
      <c r="R88"/>
      <c r="S88"/>
    </row>
    <row r="89" spans="2:19" ht="13" outlineLevel="1" x14ac:dyDescent="0.3">
      <c r="B89"/>
      <c r="C89"/>
      <c r="D89"/>
      <c r="E89"/>
      <c r="F89" s="51" t="s">
        <v>167</v>
      </c>
      <c r="G89" s="52">
        <v>422.5</v>
      </c>
      <c r="H89"/>
      <c r="I89"/>
      <c r="J89"/>
      <c r="K89"/>
      <c r="L89"/>
      <c r="M89"/>
      <c r="N89"/>
      <c r="Q89"/>
      <c r="R89"/>
      <c r="S89"/>
    </row>
    <row r="90" spans="2:19" ht="13" outlineLevel="1" x14ac:dyDescent="0.3">
      <c r="B90"/>
      <c r="C90"/>
      <c r="D90"/>
      <c r="E90"/>
      <c r="F90" s="51" t="s">
        <v>170</v>
      </c>
      <c r="G90" s="52">
        <v>416</v>
      </c>
      <c r="H90"/>
      <c r="I90"/>
      <c r="J90"/>
      <c r="K90"/>
      <c r="L90"/>
      <c r="M90"/>
      <c r="N90"/>
      <c r="Q90"/>
      <c r="R90"/>
      <c r="S90"/>
    </row>
    <row r="91" spans="2:19" ht="13" outlineLevel="1" x14ac:dyDescent="0.3">
      <c r="B91"/>
      <c r="C91"/>
      <c r="D91"/>
      <c r="E91"/>
      <c r="F91" s="51" t="s">
        <v>131</v>
      </c>
      <c r="G91" s="52">
        <v>414.96000000000004</v>
      </c>
      <c r="H91"/>
      <c r="I91"/>
      <c r="J91"/>
      <c r="K91"/>
      <c r="L91"/>
      <c r="M91"/>
      <c r="N91"/>
      <c r="Q91"/>
      <c r="R91"/>
      <c r="S91"/>
    </row>
    <row r="92" spans="2:19" ht="13" outlineLevel="1" x14ac:dyDescent="0.3">
      <c r="B92"/>
      <c r="C92"/>
      <c r="D92"/>
      <c r="E92"/>
      <c r="F92" s="51" t="s">
        <v>27</v>
      </c>
      <c r="G92" s="52">
        <v>409.59000000000003</v>
      </c>
      <c r="H92"/>
      <c r="I92"/>
      <c r="J92"/>
      <c r="K92"/>
      <c r="L92"/>
      <c r="M92"/>
      <c r="N92"/>
      <c r="Q92"/>
      <c r="R92"/>
      <c r="S92"/>
    </row>
    <row r="93" spans="2:19" ht="13" outlineLevel="1" x14ac:dyDescent="0.3">
      <c r="B93"/>
      <c r="C93"/>
      <c r="D93"/>
      <c r="E93"/>
      <c r="F93" s="51" t="s">
        <v>174</v>
      </c>
      <c r="G93" s="52">
        <v>409.59000000000003</v>
      </c>
      <c r="H93"/>
      <c r="I93"/>
      <c r="J93"/>
      <c r="K93"/>
      <c r="L93"/>
      <c r="M93"/>
      <c r="N93"/>
      <c r="Q93"/>
      <c r="R93"/>
      <c r="S93"/>
    </row>
    <row r="94" spans="2:19" ht="13" outlineLevel="1" x14ac:dyDescent="0.3">
      <c r="B94"/>
      <c r="C94"/>
      <c r="D94"/>
      <c r="E94"/>
      <c r="F94" s="51" t="s">
        <v>176</v>
      </c>
      <c r="G94" s="52">
        <v>405</v>
      </c>
      <c r="H94"/>
      <c r="I94"/>
      <c r="J94"/>
      <c r="K94"/>
      <c r="L94"/>
      <c r="M94"/>
      <c r="N94"/>
      <c r="Q94"/>
      <c r="R94"/>
      <c r="S94"/>
    </row>
    <row r="95" spans="2:19" ht="13" outlineLevel="1" x14ac:dyDescent="0.3">
      <c r="B95"/>
      <c r="C95"/>
      <c r="D95"/>
      <c r="E95"/>
      <c r="F95" s="51" t="s">
        <v>180</v>
      </c>
      <c r="G95" s="52">
        <v>382.5</v>
      </c>
      <c r="H95"/>
      <c r="I95"/>
      <c r="J95"/>
      <c r="K95"/>
      <c r="L95"/>
      <c r="M95"/>
      <c r="N95"/>
      <c r="Q95"/>
      <c r="R95"/>
      <c r="S95"/>
    </row>
    <row r="96" spans="2:19" ht="13" outlineLevel="1" x14ac:dyDescent="0.3">
      <c r="B96"/>
      <c r="C96"/>
      <c r="D96"/>
      <c r="E96"/>
      <c r="F96" s="51" t="s">
        <v>183</v>
      </c>
      <c r="G96" s="52">
        <v>336</v>
      </c>
      <c r="H96"/>
      <c r="I96"/>
      <c r="J96"/>
      <c r="K96"/>
      <c r="L96"/>
      <c r="M96"/>
      <c r="N96"/>
      <c r="Q96"/>
      <c r="R96"/>
      <c r="S96"/>
    </row>
    <row r="97" spans="2:19" ht="13" outlineLevel="1" x14ac:dyDescent="0.3">
      <c r="B97"/>
      <c r="C97"/>
      <c r="D97"/>
      <c r="E97"/>
      <c r="F97" s="51" t="s">
        <v>185</v>
      </c>
      <c r="G97" s="52">
        <v>319.20000000000005</v>
      </c>
      <c r="H97"/>
      <c r="I97"/>
      <c r="J97"/>
      <c r="K97"/>
      <c r="L97"/>
      <c r="M97"/>
      <c r="N97"/>
      <c r="Q97"/>
      <c r="R97"/>
      <c r="S97"/>
    </row>
    <row r="98" spans="2:19" ht="13" outlineLevel="1" x14ac:dyDescent="0.3">
      <c r="F98" s="51" t="s">
        <v>187</v>
      </c>
      <c r="G98" s="52">
        <v>312</v>
      </c>
      <c r="H98"/>
      <c r="Q98"/>
      <c r="R98"/>
      <c r="S98"/>
    </row>
    <row r="99" spans="2:19" ht="13" outlineLevel="1" x14ac:dyDescent="0.3">
      <c r="F99" s="51" t="s">
        <v>196</v>
      </c>
      <c r="G99" s="52">
        <v>276</v>
      </c>
      <c r="H99"/>
      <c r="Q99"/>
      <c r="R99"/>
      <c r="S99"/>
    </row>
    <row r="100" spans="2:19" ht="13" outlineLevel="1" x14ac:dyDescent="0.3">
      <c r="F100" s="51" t="s">
        <v>191</v>
      </c>
      <c r="G100" s="52">
        <v>261</v>
      </c>
      <c r="H100"/>
      <c r="Q100"/>
      <c r="R100"/>
      <c r="S100"/>
    </row>
    <row r="101" spans="2:19" ht="13" outlineLevel="1" x14ac:dyDescent="0.3">
      <c r="F101" s="51" t="s">
        <v>193</v>
      </c>
      <c r="G101" s="52">
        <v>259.35000000000002</v>
      </c>
      <c r="H101"/>
      <c r="Q101"/>
      <c r="R101"/>
      <c r="S101"/>
    </row>
    <row r="102" spans="2:19" ht="13" outlineLevel="1" x14ac:dyDescent="0.3">
      <c r="F102" s="51" t="s">
        <v>198</v>
      </c>
      <c r="G102" s="52">
        <v>231</v>
      </c>
      <c r="H102"/>
      <c r="Q102"/>
      <c r="R102"/>
      <c r="S102"/>
    </row>
    <row r="103" spans="2:19" ht="13" outlineLevel="1" x14ac:dyDescent="0.3">
      <c r="F103" s="51" t="s">
        <v>200</v>
      </c>
      <c r="G103" s="52">
        <v>227.43</v>
      </c>
      <c r="H103"/>
      <c r="Q103"/>
      <c r="R103"/>
      <c r="S103"/>
    </row>
    <row r="104" spans="2:19" ht="13" outlineLevel="1" x14ac:dyDescent="0.3">
      <c r="F104" s="51" t="s">
        <v>202</v>
      </c>
      <c r="G104" s="52">
        <v>219.78</v>
      </c>
      <c r="H104"/>
      <c r="Q104"/>
      <c r="R104"/>
      <c r="S104"/>
    </row>
    <row r="105" spans="2:19" ht="13" outlineLevel="1" x14ac:dyDescent="0.3">
      <c r="F105" s="51" t="s">
        <v>206</v>
      </c>
      <c r="G105" s="52">
        <v>143</v>
      </c>
      <c r="H105"/>
      <c r="Q105"/>
      <c r="R105"/>
      <c r="S105"/>
    </row>
    <row r="106" spans="2:19" ht="13" outlineLevel="1" x14ac:dyDescent="0.3">
      <c r="F106" s="51" t="s">
        <v>208</v>
      </c>
      <c r="G106" s="52">
        <v>139.86000000000001</v>
      </c>
      <c r="H106"/>
      <c r="Q106"/>
      <c r="R106"/>
      <c r="S106"/>
    </row>
    <row r="107" spans="2:19" ht="13" outlineLevel="1" x14ac:dyDescent="0.3">
      <c r="F107" s="51" t="s">
        <v>211</v>
      </c>
      <c r="G107" s="52">
        <v>111.72</v>
      </c>
      <c r="H107"/>
      <c r="Q107"/>
      <c r="R107"/>
      <c r="S107"/>
    </row>
    <row r="108" spans="2:19" ht="13" outlineLevel="1" x14ac:dyDescent="0.3">
      <c r="F108" s="51" t="s">
        <v>85</v>
      </c>
      <c r="G108" s="52">
        <v>60</v>
      </c>
      <c r="H108"/>
      <c r="Q108"/>
      <c r="R108"/>
      <c r="S108"/>
    </row>
    <row r="109" spans="2:19" ht="13" outlineLevel="1" x14ac:dyDescent="0.3">
      <c r="F109" s="51" t="s">
        <v>217</v>
      </c>
      <c r="G109" s="52">
        <v>45</v>
      </c>
      <c r="H109"/>
      <c r="Q109"/>
      <c r="R109"/>
      <c r="S109"/>
    </row>
    <row r="110" spans="2:19" ht="13" outlineLevel="1" x14ac:dyDescent="0.3">
      <c r="F110" s="51" t="s">
        <v>222</v>
      </c>
      <c r="G110" s="52">
        <v>31.5</v>
      </c>
      <c r="H110"/>
      <c r="Q110"/>
      <c r="R110"/>
      <c r="S110"/>
    </row>
    <row r="111" spans="2:19" ht="13" outlineLevel="1" x14ac:dyDescent="0.3">
      <c r="F111" s="51" t="s">
        <v>232</v>
      </c>
      <c r="G111" s="52">
        <v>72186.87000000001</v>
      </c>
      <c r="H111"/>
      <c r="Q111"/>
      <c r="R111"/>
      <c r="S111"/>
    </row>
    <row r="112" spans="2:19" ht="13" outlineLevel="1" x14ac:dyDescent="0.3">
      <c r="F112"/>
      <c r="G112"/>
      <c r="H112"/>
      <c r="Q112"/>
      <c r="R112"/>
      <c r="S112"/>
    </row>
    <row r="113" spans="6:19" ht="13" x14ac:dyDescent="0.3">
      <c r="F113"/>
      <c r="G113"/>
      <c r="H113"/>
      <c r="Q113"/>
      <c r="R113"/>
      <c r="S113"/>
    </row>
    <row r="114" spans="6:19" ht="13" x14ac:dyDescent="0.3">
      <c r="F114"/>
      <c r="G114"/>
      <c r="H114"/>
      <c r="Q114"/>
      <c r="R114"/>
      <c r="S114"/>
    </row>
    <row r="115" spans="6:19" ht="13" x14ac:dyDescent="0.3">
      <c r="F115"/>
      <c r="G115"/>
      <c r="H115"/>
      <c r="Q115"/>
      <c r="R115"/>
      <c r="S115"/>
    </row>
    <row r="116" spans="6:19" ht="13" x14ac:dyDescent="0.3">
      <c r="F116"/>
      <c r="G116"/>
      <c r="H116"/>
      <c r="Q116"/>
      <c r="R116"/>
      <c r="S116"/>
    </row>
    <row r="117" spans="6:19" ht="13" x14ac:dyDescent="0.3">
      <c r="Q117"/>
      <c r="R117"/>
      <c r="S117"/>
    </row>
    <row r="118" spans="6:19" ht="13" x14ac:dyDescent="0.3">
      <c r="Q118"/>
      <c r="R118"/>
      <c r="S118"/>
    </row>
    <row r="119" spans="6:19" ht="13" x14ac:dyDescent="0.3">
      <c r="Q119"/>
      <c r="R119"/>
      <c r="S119"/>
    </row>
    <row r="120" spans="6:19" ht="13" x14ac:dyDescent="0.3">
      <c r="Q120"/>
      <c r="R120"/>
      <c r="S120"/>
    </row>
    <row r="121" spans="6:19" ht="13" x14ac:dyDescent="0.3">
      <c r="Q121"/>
      <c r="R121"/>
      <c r="S121"/>
    </row>
    <row r="122" spans="6:19" ht="13" x14ac:dyDescent="0.3">
      <c r="Q122"/>
      <c r="R122"/>
      <c r="S122"/>
    </row>
    <row r="123" spans="6:19" ht="13" x14ac:dyDescent="0.3">
      <c r="Q123"/>
      <c r="R123"/>
      <c r="S123"/>
    </row>
    <row r="124" spans="6:19" ht="13" x14ac:dyDescent="0.3">
      <c r="Q124"/>
      <c r="R124"/>
      <c r="S124"/>
    </row>
    <row r="125" spans="6:19" ht="13" x14ac:dyDescent="0.3">
      <c r="Q125"/>
      <c r="R125"/>
      <c r="S125"/>
    </row>
    <row r="126" spans="6:19" ht="13" x14ac:dyDescent="0.3">
      <c r="Q126"/>
      <c r="R126"/>
      <c r="S126"/>
    </row>
    <row r="127" spans="6:19" ht="13" x14ac:dyDescent="0.3">
      <c r="Q127"/>
      <c r="R127"/>
      <c r="S127"/>
    </row>
    <row r="128" spans="6:19" ht="13" x14ac:dyDescent="0.3">
      <c r="Q128"/>
      <c r="R128"/>
      <c r="S128"/>
    </row>
    <row r="129" spans="17:18" ht="13" x14ac:dyDescent="0.3">
      <c r="Q129"/>
      <c r="R129"/>
    </row>
    <row r="130" spans="17:18" ht="13" x14ac:dyDescent="0.3">
      <c r="Q130"/>
      <c r="R130"/>
    </row>
    <row r="131" spans="17:18" ht="13" x14ac:dyDescent="0.3">
      <c r="Q131"/>
      <c r="R131"/>
    </row>
    <row r="132" spans="17:18" ht="13" x14ac:dyDescent="0.3">
      <c r="Q132"/>
      <c r="R132"/>
    </row>
    <row r="133" spans="17:18" ht="13" x14ac:dyDescent="0.3">
      <c r="Q133"/>
      <c r="R133"/>
    </row>
    <row r="134" spans="17:18" ht="13" x14ac:dyDescent="0.3">
      <c r="Q134"/>
      <c r="R134"/>
    </row>
    <row r="135" spans="17:18" ht="13" x14ac:dyDescent="0.3">
      <c r="Q135"/>
      <c r="R135"/>
    </row>
    <row r="136" spans="17:18" ht="13" x14ac:dyDescent="0.3">
      <c r="Q136"/>
      <c r="R136"/>
    </row>
    <row r="137" spans="17:18" ht="13" x14ac:dyDescent="0.3">
      <c r="Q137"/>
      <c r="R137"/>
    </row>
    <row r="138" spans="17:18" ht="13" x14ac:dyDescent="0.3">
      <c r="Q138"/>
      <c r="R138"/>
    </row>
    <row r="139" spans="17:18" ht="13" x14ac:dyDescent="0.3">
      <c r="Q139"/>
      <c r="R139"/>
    </row>
    <row r="140" spans="17:18" ht="13" x14ac:dyDescent="0.3">
      <c r="Q140"/>
      <c r="R140"/>
    </row>
    <row r="141" spans="17:18" ht="13" x14ac:dyDescent="0.3">
      <c r="Q141"/>
      <c r="R141"/>
    </row>
    <row r="142" spans="17:18" ht="13" x14ac:dyDescent="0.3">
      <c r="Q142"/>
      <c r="R142"/>
    </row>
    <row r="143" spans="17:18" ht="13" x14ac:dyDescent="0.3">
      <c r="Q143"/>
      <c r="R143"/>
    </row>
    <row r="144" spans="17:18" ht="13" x14ac:dyDescent="0.3">
      <c r="Q144"/>
      <c r="R144"/>
    </row>
    <row r="145" spans="17:18" ht="13" x14ac:dyDescent="0.3">
      <c r="Q145"/>
      <c r="R145"/>
    </row>
    <row r="146" spans="17:18" ht="13" x14ac:dyDescent="0.3">
      <c r="Q146"/>
      <c r="R146"/>
    </row>
    <row r="147" spans="17:18" ht="13" x14ac:dyDescent="0.3">
      <c r="Q147"/>
      <c r="R147"/>
    </row>
    <row r="148" spans="17:18" ht="13" x14ac:dyDescent="0.3">
      <c r="Q148"/>
      <c r="R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licer_Instruction_Send_To_Answer_1">
                <anchor moveWithCells="1" sizeWithCells="1">
                  <from>
                    <xdr:col>12</xdr:col>
                    <xdr:colOff>317500</xdr:colOff>
                    <xdr:row>12</xdr:row>
                    <xdr:rowOff>76200</xdr:rowOff>
                  </from>
                  <to>
                    <xdr:col>15</xdr:col>
                    <xdr:colOff>450850</xdr:colOff>
                    <xdr:row>15</xdr:row>
                    <xdr:rowOff>114300</xdr:rowOff>
                  </to>
                </anchor>
              </controlPr>
            </control>
          </mc:Choice>
        </mc:AlternateContent>
        <mc:AlternateContent xmlns:mc="http://schemas.openxmlformats.org/markup-compatibility/2006">
          <mc:Choice Requires="x14">
            <control shapeId="1026" r:id="rId7" name="Button 2">
              <controlPr defaultSize="0" print="0" autoFill="0" autoPict="0" macro="[0]!ThisWorkbook.Slicer_Instruction_Send_To_Answer_2">
                <anchor moveWithCells="1" sizeWithCells="1">
                  <from>
                    <xdr:col>12</xdr:col>
                    <xdr:colOff>381000</xdr:colOff>
                    <xdr:row>27</xdr:row>
                    <xdr:rowOff>107950</xdr:rowOff>
                  </from>
                  <to>
                    <xdr:col>15</xdr:col>
                    <xdr:colOff>495300</xdr:colOff>
                    <xdr:row>30</xdr:row>
                    <xdr:rowOff>146050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15</vt:i4>
      </vt:variant>
    </vt:vector>
  </HeadingPairs>
  <TitlesOfParts>
    <vt:vector size="32" baseType="lpstr">
      <vt:lpstr>Introduction</vt:lpstr>
      <vt:lpstr>Table of Contents</vt:lpstr>
      <vt:lpstr>Data Set</vt:lpstr>
      <vt:lpstr>Section 1 - Create Pivot Table</vt:lpstr>
      <vt:lpstr>Section 1 - Create Table (ANS)</vt:lpstr>
      <vt:lpstr>Section 2 - Navigating </vt:lpstr>
      <vt:lpstr>Section 2 - Navigating (ANS)</vt:lpstr>
      <vt:lpstr>Optional Student Exercises</vt:lpstr>
      <vt:lpstr>Optional Student Exercise (ANS)</vt:lpstr>
      <vt:lpstr>Section 4 - Sorting</vt:lpstr>
      <vt:lpstr>Section 4 - Sorting (ANS)</vt:lpstr>
      <vt:lpstr>Section 5- Adv Filter</vt:lpstr>
      <vt:lpstr>Section 5 -Adv Filter (ANS)</vt:lpstr>
      <vt:lpstr>Section 6- Calc Fields</vt:lpstr>
      <vt:lpstr>Section 6 - Calc Field (ANS)</vt:lpstr>
      <vt:lpstr>Section 7 - Slicers</vt:lpstr>
      <vt:lpstr>Section 7 - Slicers (ANS)</vt:lpstr>
      <vt:lpstr>D1_Country_Sold</vt:lpstr>
      <vt:lpstr>D1_Date_Sold</vt:lpstr>
      <vt:lpstr>D1_Distributor_ID</vt:lpstr>
      <vt:lpstr>D1_Distributor_Name</vt:lpstr>
      <vt:lpstr>D1_H</vt:lpstr>
      <vt:lpstr>D1_MonthSold</vt:lpstr>
      <vt:lpstr>D1_Product_Full_Name</vt:lpstr>
      <vt:lpstr>D1_Product_Type_Code</vt:lpstr>
      <vt:lpstr>D1_Quantity_Sold</vt:lpstr>
      <vt:lpstr>D1_Revenue</vt:lpstr>
      <vt:lpstr>D1_Sales_Channel</vt:lpstr>
      <vt:lpstr>D1_SALES_DATA</vt:lpstr>
      <vt:lpstr>D1_Unit_Price</vt:lpstr>
      <vt:lpstr>'Data Set'!Print_Area</vt:lpstr>
      <vt:lpstr>'Data Set'!Print_Titles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Barbara Vyse</cp:lastModifiedBy>
  <dcterms:created xsi:type="dcterms:W3CDTF">2016-06-22T22:01:00Z</dcterms:created>
  <dcterms:modified xsi:type="dcterms:W3CDTF">2019-06-07T19:34:16Z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