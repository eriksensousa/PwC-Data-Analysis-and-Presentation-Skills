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vyse008\Desktop\"/>
    </mc:Choice>
  </mc:AlternateContent>
  <bookViews>
    <workbookView xWindow="0" yWindow="0" windowWidth="25600" windowHeight="11640" tabRatio="907"/>
  </bookViews>
  <sheets>
    <sheet name="Cover Page" sheetId="1" r:id="rId1"/>
    <sheet name="Table of contents" sheetId="8" r:id="rId2"/>
    <sheet name="Data Set" sheetId="6" r:id="rId3"/>
    <sheet name="Section 1 - Instruction" sheetId="3" r:id="rId4"/>
    <sheet name="Section 1 - ANS" sheetId="7" state="hidden" r:id="rId5"/>
  </sheets>
  <externalReferences>
    <externalReference r:id="rId6"/>
  </externalReferences>
  <definedNames>
    <definedName name="Country" localSheetId="1">'[1]Data Set'!$F$9:$F$32</definedName>
    <definedName name="Country">'Data Set'!$F$9:$F$32</definedName>
    <definedName name="EBITA">'Data Set'!$D$9:$D$32</definedName>
    <definedName name="EBITA_Per">'Data Set'!$E$9:$E$32</definedName>
    <definedName name="EBITDA">'Data Set'!$D$9:$D$32</definedName>
    <definedName name="EBITDA_Per">'Data Set'!$E$9:$E$32</definedName>
    <definedName name="Name" localSheetId="1">'[1]Data Set'!$B$38:$I$38</definedName>
    <definedName name="Name">'Data Set'!$B$38:$I$38</definedName>
    <definedName name="Personal_Info" localSheetId="1">'[1]Data Set'!$B$38:$B$44</definedName>
    <definedName name="Personal_Info">'Data Set'!$B$38:$B$44</definedName>
    <definedName name="Revenue" localSheetId="1">'[1]Data Set'!$C$9:$C$32</definedName>
    <definedName name="Revenue">'Data Set'!$C$9:$C$32</definedName>
  </definedNames>
  <calcPr calcId="15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0" i="6" l="1"/>
  <c r="E126" i="7"/>
  <c r="D28" i="6"/>
  <c r="E127" i="7"/>
  <c r="D32" i="6"/>
  <c r="E128" i="7"/>
  <c r="D23" i="6"/>
  <c r="E129" i="7"/>
  <c r="D16" i="6"/>
  <c r="E130" i="7"/>
  <c r="D13" i="6"/>
  <c r="E125" i="7"/>
  <c r="C126" i="7"/>
  <c r="D126" i="7"/>
  <c r="C127" i="7"/>
  <c r="D127" i="7"/>
  <c r="C128" i="7"/>
  <c r="D128" i="7"/>
  <c r="C129" i="7"/>
  <c r="D129" i="7"/>
  <c r="C130" i="7"/>
  <c r="D130" i="7"/>
  <c r="C125" i="7"/>
  <c r="D125" i="7"/>
  <c r="A3" i="8"/>
  <c r="A2" i="8"/>
  <c r="A1" i="8"/>
  <c r="E166" i="7"/>
  <c r="D166" i="7"/>
  <c r="C166" i="7"/>
  <c r="E165" i="7"/>
  <c r="D165" i="7"/>
  <c r="C165" i="7"/>
  <c r="E164" i="7"/>
  <c r="D164" i="7"/>
  <c r="C164" i="7"/>
  <c r="E163" i="7"/>
  <c r="D163" i="7"/>
  <c r="C163" i="7"/>
  <c r="E162" i="7"/>
  <c r="D162" i="7"/>
  <c r="C162" i="7"/>
  <c r="E161" i="7"/>
  <c r="D161" i="7"/>
  <c r="C161" i="7"/>
  <c r="E73" i="7"/>
  <c r="E27" i="7"/>
  <c r="F150" i="7"/>
  <c r="D150" i="7"/>
  <c r="C150" i="7"/>
  <c r="F149" i="7"/>
  <c r="D149" i="7"/>
  <c r="C149" i="7"/>
  <c r="F148" i="7"/>
  <c r="D148" i="7"/>
  <c r="C148" i="7"/>
  <c r="F147" i="7"/>
  <c r="D147" i="7"/>
  <c r="C147" i="7"/>
  <c r="E100" i="7"/>
  <c r="C100" i="7"/>
  <c r="D100" i="7"/>
  <c r="E48" i="7"/>
  <c r="E10" i="7"/>
  <c r="A3" i="7"/>
  <c r="A2" i="7"/>
  <c r="A1" i="7"/>
  <c r="E147" i="7"/>
  <c r="E149" i="7"/>
  <c r="E150" i="7"/>
  <c r="E148" i="7"/>
  <c r="D31" i="6"/>
  <c r="D29" i="6"/>
  <c r="D27" i="6"/>
  <c r="D26" i="6"/>
  <c r="D25" i="6"/>
  <c r="D24" i="6"/>
  <c r="D22" i="6"/>
  <c r="D21" i="6"/>
  <c r="D20" i="6"/>
  <c r="D19" i="6"/>
  <c r="D18" i="6"/>
  <c r="D17" i="6"/>
  <c r="D15" i="6"/>
  <c r="D14" i="6"/>
  <c r="D12" i="6"/>
  <c r="D11" i="6"/>
  <c r="D10" i="6"/>
  <c r="A3" i="6"/>
  <c r="A2" i="6"/>
  <c r="A1" i="6"/>
  <c r="A3" i="3"/>
  <c r="A2" i="3"/>
  <c r="A1" i="3"/>
</calcChain>
</file>

<file path=xl/sharedStrings.xml><?xml version="1.0" encoding="utf-8"?>
<sst xmlns="http://schemas.openxmlformats.org/spreadsheetml/2006/main" count="226" uniqueCount="101">
  <si>
    <t>Data Set</t>
  </si>
  <si>
    <t>Section 1 - Instruction</t>
  </si>
  <si>
    <t>Index Match</t>
  </si>
  <si>
    <t>Revenue</t>
  </si>
  <si>
    <t>Country</t>
  </si>
  <si>
    <t>Panama</t>
  </si>
  <si>
    <t>Tanzania, United Republic of</t>
  </si>
  <si>
    <t>South Africa</t>
  </si>
  <si>
    <t>Gabon</t>
  </si>
  <si>
    <t>Syrian Arab Republic</t>
  </si>
  <si>
    <t>Guadeloupe</t>
  </si>
  <si>
    <t>Macedonia</t>
  </si>
  <si>
    <t>Kyrgyzstan</t>
  </si>
  <si>
    <t>Reunion</t>
  </si>
  <si>
    <t>Turks and Caicos Islands</t>
  </si>
  <si>
    <t>Netherlands Antilles</t>
  </si>
  <si>
    <t>Tuvalu</t>
  </si>
  <si>
    <t>Nepal</t>
  </si>
  <si>
    <t>Malawi</t>
  </si>
  <si>
    <t>Moldova</t>
  </si>
  <si>
    <t>Burkina Faso</t>
  </si>
  <si>
    <t>Bouvet Island</t>
  </si>
  <si>
    <t>Liberia</t>
  </si>
  <si>
    <t>Vanuatu</t>
  </si>
  <si>
    <t>Palau</t>
  </si>
  <si>
    <t>Madagascar</t>
  </si>
  <si>
    <t>Yemen</t>
  </si>
  <si>
    <t>INDEX</t>
  </si>
  <si>
    <t>Index</t>
  </si>
  <si>
    <t>Match</t>
  </si>
  <si>
    <t>INDEX (MATCH)</t>
  </si>
  <si>
    <t>Find the Revenue for each country listed below</t>
  </si>
  <si>
    <t>Match (Row)</t>
  </si>
  <si>
    <t>(Index-Match)</t>
  </si>
  <si>
    <t>Bill Rider</t>
  </si>
  <si>
    <t>Scott Davenport</t>
  </si>
  <si>
    <t>Rod Filmore</t>
  </si>
  <si>
    <t>Sara Martin</t>
  </si>
  <si>
    <t>Jose Smith</t>
  </si>
  <si>
    <t>Jill Trainor</t>
  </si>
  <si>
    <t>Liam Su</t>
  </si>
  <si>
    <t>Height</t>
  </si>
  <si>
    <t>Weight</t>
  </si>
  <si>
    <t>Sex</t>
  </si>
  <si>
    <t>Hair Color</t>
  </si>
  <si>
    <t>Eye Color</t>
  </si>
  <si>
    <t>5-9</t>
  </si>
  <si>
    <t>5-8</t>
  </si>
  <si>
    <t>6-1</t>
  </si>
  <si>
    <t>5-11</t>
  </si>
  <si>
    <t>5-4</t>
  </si>
  <si>
    <t>6-4</t>
  </si>
  <si>
    <t>M</t>
  </si>
  <si>
    <t>F</t>
  </si>
  <si>
    <t>City</t>
  </si>
  <si>
    <t>New York</t>
  </si>
  <si>
    <t>Boston</t>
  </si>
  <si>
    <t>Chicago</t>
  </si>
  <si>
    <t>DC</t>
  </si>
  <si>
    <t>LA</t>
  </si>
  <si>
    <t>Boise</t>
  </si>
  <si>
    <t>Atlanta</t>
  </si>
  <si>
    <t>Brown</t>
  </si>
  <si>
    <t>Black</t>
  </si>
  <si>
    <t>Blonde</t>
  </si>
  <si>
    <t>Red</t>
  </si>
  <si>
    <t>Green</t>
  </si>
  <si>
    <t>Blue</t>
  </si>
  <si>
    <t>Personal Info</t>
  </si>
  <si>
    <t>Index and answer from C</t>
  </si>
  <si>
    <t>Index - Match</t>
  </si>
  <si>
    <t>What country is in the 3rd row, including the header as your first row of data?</t>
  </si>
  <si>
    <t>What is the Revenue in the 5th Row, including the header as your first row of data?</t>
  </si>
  <si>
    <t>What row is "Macedonia" on, including the header as your first row of data?</t>
  </si>
  <si>
    <t>Which column is "EBITDA" in, including the header as your first row of data?</t>
  </si>
  <si>
    <t xml:space="preserve"> personal information</t>
  </si>
  <si>
    <t>Personal Information</t>
  </si>
  <si>
    <t>Use Column C&amp;D</t>
  </si>
  <si>
    <t>Problem 1B - Student Exersise</t>
  </si>
  <si>
    <t>Problem 1A - Instructor Lead</t>
  </si>
  <si>
    <t>Problem 2A - Instructor Lead</t>
  </si>
  <si>
    <t>Problem 2B - Student Exersise</t>
  </si>
  <si>
    <t>Problem 3A - Instructor Lead</t>
  </si>
  <si>
    <t>Problem 3B - Student Exersise</t>
  </si>
  <si>
    <t>Problem 4A - Instructor Lead</t>
  </si>
  <si>
    <t>Problem 4B - Student Exersise</t>
  </si>
  <si>
    <t xml:space="preserve">Problem Solving With Excel </t>
  </si>
  <si>
    <t>Week 4</t>
  </si>
  <si>
    <t>Data Set for Questions 1A-3B</t>
  </si>
  <si>
    <t>Data Set for Questions 4A and 4B</t>
  </si>
  <si>
    <t>Summary</t>
  </si>
  <si>
    <t>Section</t>
  </si>
  <si>
    <t>Description</t>
  </si>
  <si>
    <t>Sample data set</t>
  </si>
  <si>
    <t>Questions</t>
  </si>
  <si>
    <t>Section 1 - Ans</t>
  </si>
  <si>
    <t>Answer set for index match questions</t>
  </si>
  <si>
    <t>`</t>
  </si>
  <si>
    <t>EBITDA</t>
  </si>
  <si>
    <t>EBITDA %</t>
  </si>
  <si>
    <t>Find the EBITDA  for each country listed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</si>
</sst>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* #,##0_);_(* \(#,##0\);_(* &quot;-&quot;??_);_(@_)"/>
  </numFmts>
  <fonts count="35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b/>
      <sz val="10"/>
      <color theme="2"/>
      <name val="Arial"/>
      <family val="2"/>
    </font>
    <font>
      <sz val="10"/>
      <color theme="2"/>
      <name val="Arial"/>
      <family val="2"/>
    </font>
    <font>
      <u/>
      <sz val="10"/>
      <color theme="2"/>
      <name val="Arial"/>
      <family val="2"/>
    </font>
    <font>
      <sz val="10"/>
      <color theme="1"/>
      <name val="Arial"/>
      <family val="2"/>
    </font>
    <font>
      <sz val="10"/>
      <color theme="3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u/>
      <sz val="10"/>
      <color theme="0"/>
      <name val="Arial"/>
      <family val="2"/>
    </font>
    <font>
      <b/>
      <sz val="14"/>
      <color theme="6" tint="-0.249977111117893"/>
      <name val="Arial"/>
      <family val="2"/>
    </font>
    <font>
      <b/>
      <sz val="12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  <border>
      <left/>
      <right/>
      <top style="medium">
        <color theme="4"/>
      </top>
      <bottom style="dotted">
        <color theme="4"/>
      </bottom>
      <diagonal/>
    </border>
    <border>
      <left/>
      <right/>
      <top style="dotted">
        <color theme="4"/>
      </top>
      <bottom style="dotted">
        <color theme="4"/>
      </bottom>
      <diagonal/>
    </border>
    <border>
      <left/>
      <right/>
      <top style="dotted">
        <color theme="4"/>
      </top>
      <bottom style="hair">
        <color theme="4"/>
      </bottom>
      <diagonal/>
    </border>
  </borders>
  <cellStyleXfs count="32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</cellStyleXfs>
  <cellXfs count="54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49" fontId="9" fillId="0" borderId="6" xfId="3">
      <alignment horizontal="right" wrapText="1"/>
    </xf>
    <xf numFmtId="9" fontId="22" fillId="0" borderId="0" xfId="1" applyFont="1"/>
    <xf numFmtId="164" fontId="25" fillId="12" borderId="7" xfId="0" applyFont="1" applyFill="1" applyBorder="1" applyAlignment="1">
      <alignment horizontal="left" vertical="top"/>
    </xf>
    <xf numFmtId="164" fontId="26" fillId="12" borderId="7" xfId="0" applyFont="1" applyFill="1" applyBorder="1" applyAlignment="1">
      <alignment horizontal="left" vertical="top"/>
    </xf>
    <xf numFmtId="164" fontId="26" fillId="12" borderId="7" xfId="0" applyFont="1" applyFill="1" applyBorder="1" applyAlignment="1">
      <alignment horizontal="right" vertical="top"/>
    </xf>
    <xf numFmtId="164" fontId="27" fillId="12" borderId="7" xfId="0" applyFont="1" applyFill="1" applyBorder="1" applyAlignment="1">
      <alignment horizontal="right" vertical="top"/>
    </xf>
    <xf numFmtId="164" fontId="28" fillId="13" borderId="11" xfId="0" applyFont="1" applyFill="1" applyBorder="1" applyAlignment="1">
      <alignment horizontal="left" vertical="top"/>
    </xf>
    <xf numFmtId="164" fontId="29" fillId="0" borderId="11" xfId="0" applyFont="1" applyFill="1" applyBorder="1" applyAlignment="1">
      <alignment horizontal="left" vertical="top"/>
    </xf>
    <xf numFmtId="44" fontId="30" fillId="14" borderId="11" xfId="0" applyNumberFormat="1" applyFont="1" applyFill="1" applyBorder="1" applyAlignment="1">
      <alignment horizontal="right" vertical="top"/>
    </xf>
    <xf numFmtId="164" fontId="28" fillId="0" borderId="12" xfId="0" applyFont="1" applyBorder="1" applyAlignment="1">
      <alignment horizontal="left" vertical="top"/>
    </xf>
    <xf numFmtId="164" fontId="29" fillId="0" borderId="12" xfId="0" applyFont="1" applyFill="1" applyBorder="1" applyAlignment="1">
      <alignment horizontal="left" vertical="top"/>
    </xf>
    <xf numFmtId="0" fontId="30" fillId="14" borderId="12" xfId="0" applyNumberFormat="1" applyFont="1" applyFill="1" applyBorder="1" applyAlignment="1">
      <alignment horizontal="left" vertical="top"/>
    </xf>
    <xf numFmtId="164" fontId="28" fillId="13" borderId="12" xfId="0" applyFont="1" applyFill="1" applyBorder="1" applyAlignment="1">
      <alignment horizontal="left" vertical="top"/>
    </xf>
    <xf numFmtId="164" fontId="31" fillId="15" borderId="7" xfId="0" applyFont="1" applyFill="1" applyBorder="1" applyAlignment="1">
      <alignment horizontal="left" vertical="top"/>
    </xf>
    <xf numFmtId="164" fontId="32" fillId="15" borderId="7" xfId="0" applyFont="1" applyFill="1" applyBorder="1" applyAlignment="1">
      <alignment horizontal="left" vertical="top"/>
    </xf>
    <xf numFmtId="164" fontId="28" fillId="13" borderId="0" xfId="0" applyFont="1" applyFill="1" applyAlignment="1">
      <alignment horizontal="left" vertical="top"/>
    </xf>
    <xf numFmtId="164" fontId="29" fillId="13" borderId="0" xfId="0" applyFont="1" applyFill="1" applyAlignment="1">
      <alignment horizontal="left" vertical="top"/>
    </xf>
    <xf numFmtId="0" fontId="25" fillId="12" borderId="7" xfId="30" applyFont="1" applyFill="1" applyBorder="1" applyAlignment="1">
      <alignment horizontal="left" vertical="top"/>
    </xf>
    <xf numFmtId="0" fontId="25" fillId="12" borderId="7" xfId="30" applyFont="1" applyFill="1" applyBorder="1" applyAlignment="1">
      <alignment horizontal="right" vertical="top"/>
    </xf>
    <xf numFmtId="164" fontId="28" fillId="13" borderId="0" xfId="0" applyFont="1" applyFill="1" applyAlignment="1">
      <alignment horizontal="right" vertical="top"/>
    </xf>
    <xf numFmtId="9" fontId="28" fillId="16" borderId="0" xfId="1" applyFont="1" applyFill="1" applyBorder="1" applyAlignment="1">
      <alignment horizontal="right" vertical="top"/>
    </xf>
    <xf numFmtId="0" fontId="28" fillId="13" borderId="11" xfId="30" applyFont="1" applyFill="1" applyBorder="1" applyAlignment="1">
      <alignment horizontal="left" vertical="top"/>
    </xf>
    <xf numFmtId="1" fontId="28" fillId="13" borderId="11" xfId="30" applyNumberFormat="1" applyFont="1" applyFill="1" applyBorder="1" applyAlignment="1">
      <alignment horizontal="right" vertical="top"/>
    </xf>
    <xf numFmtId="6" fontId="28" fillId="13" borderId="11" xfId="30" applyNumberFormat="1" applyFont="1" applyFill="1" applyBorder="1" applyAlignment="1">
      <alignment horizontal="right" vertical="top"/>
    </xf>
    <xf numFmtId="0" fontId="25" fillId="12" borderId="7" xfId="0" applyNumberFormat="1" applyFont="1" applyFill="1" applyBorder="1" applyAlignment="1">
      <alignment horizontal="left" vertical="top"/>
    </xf>
    <xf numFmtId="0" fontId="26" fillId="12" borderId="7" xfId="0" applyNumberFormat="1" applyFont="1" applyFill="1" applyBorder="1" applyAlignment="1">
      <alignment horizontal="left" vertical="top"/>
    </xf>
    <xf numFmtId="0" fontId="26" fillId="12" borderId="7" xfId="0" applyNumberFormat="1" applyFont="1" applyFill="1" applyBorder="1" applyAlignment="1">
      <alignment horizontal="right" vertical="top"/>
    </xf>
    <xf numFmtId="0" fontId="27" fillId="12" borderId="7" xfId="0" applyNumberFormat="1" applyFont="1" applyFill="1" applyBorder="1" applyAlignment="1">
      <alignment horizontal="right" vertical="top"/>
    </xf>
    <xf numFmtId="0" fontId="28" fillId="0" borderId="12" xfId="0" applyNumberFormat="1" applyFont="1" applyBorder="1" applyAlignment="1">
      <alignment horizontal="left" vertical="top"/>
    </xf>
    <xf numFmtId="0" fontId="28" fillId="13" borderId="12" xfId="0" applyNumberFormat="1" applyFont="1" applyFill="1" applyBorder="1" applyAlignment="1">
      <alignment horizontal="left" vertical="top"/>
    </xf>
    <xf numFmtId="0" fontId="29" fillId="0" borderId="12" xfId="0" applyNumberFormat="1" applyFont="1" applyFill="1" applyBorder="1" applyAlignment="1">
      <alignment horizontal="left" vertical="top"/>
    </xf>
    <xf numFmtId="49" fontId="9" fillId="11" borderId="13" xfId="3" applyFill="1" applyBorder="1" applyAlignment="1">
      <alignment horizontal="left" wrapText="1"/>
    </xf>
    <xf numFmtId="49" fontId="9" fillId="11" borderId="14" xfId="3" applyFill="1" applyBorder="1" applyAlignment="1">
      <alignment horizontal="left" wrapText="1"/>
    </xf>
    <xf numFmtId="49" fontId="9" fillId="11" borderId="15" xfId="3" applyFill="1" applyBorder="1" applyAlignment="1">
      <alignment horizontal="left" wrapText="1"/>
    </xf>
    <xf numFmtId="49" fontId="22" fillId="0" borderId="15" xfId="30" applyNumberFormat="1" applyBorder="1"/>
    <xf numFmtId="49" fontId="9" fillId="11" borderId="16" xfId="3" applyFill="1" applyBorder="1" applyAlignment="1">
      <alignment horizontal="left" wrapText="1"/>
    </xf>
    <xf numFmtId="49" fontId="22" fillId="0" borderId="16" xfId="30" applyNumberFormat="1" applyBorder="1"/>
    <xf numFmtId="49" fontId="9" fillId="11" borderId="17" xfId="3" applyFill="1" applyBorder="1" applyAlignment="1">
      <alignment horizontal="left" wrapText="1"/>
    </xf>
    <xf numFmtId="49" fontId="22" fillId="0" borderId="17" xfId="30" applyNumberFormat="1" applyBorder="1"/>
    <xf numFmtId="0" fontId="22" fillId="0" borderId="13" xfId="30" applyNumberFormat="1" applyBorder="1" applyAlignment="1">
      <alignment horizontal="right"/>
    </xf>
    <xf numFmtId="49" fontId="22" fillId="0" borderId="13" xfId="30" applyNumberFormat="1" applyBorder="1" applyAlignment="1">
      <alignment horizontal="right"/>
    </xf>
    <xf numFmtId="164" fontId="0" fillId="0" borderId="0" xfId="0" applyAlignment="1">
      <alignment horizontal="right"/>
    </xf>
    <xf numFmtId="49" fontId="22" fillId="0" borderId="14" xfId="30" applyNumberFormat="1" applyBorder="1" applyAlignment="1">
      <alignment horizontal="right"/>
    </xf>
    <xf numFmtId="8" fontId="22" fillId="0" borderId="0" xfId="30" applyNumberFormat="1"/>
    <xf numFmtId="166" fontId="28" fillId="13" borderId="11" xfId="31" applyNumberFormat="1" applyFont="1" applyFill="1" applyBorder="1" applyAlignment="1">
      <alignment horizontal="right" vertical="top"/>
    </xf>
    <xf numFmtId="166" fontId="30" fillId="14" borderId="11" xfId="31" applyNumberFormat="1" applyFont="1" applyFill="1" applyBorder="1" applyAlignment="1">
      <alignment horizontal="right" vertical="top"/>
    </xf>
    <xf numFmtId="0" fontId="33" fillId="0" borderId="0" xfId="30" applyFont="1"/>
    <xf numFmtId="0" fontId="16" fillId="0" borderId="6" xfId="24" applyAlignment="1">
      <alignment horizontal="left" wrapText="1"/>
    </xf>
    <xf numFmtId="0" fontId="30" fillId="14" borderId="12" xfId="0" applyNumberFormat="1" applyFont="1" applyFill="1" applyBorder="1" applyAlignment="1">
      <alignment horizontal="right" vertical="top"/>
    </xf>
  </cellXfs>
  <cellStyles count="32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30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863600</xdr:colOff>
          <xdr:row>7</xdr:row>
          <xdr:rowOff>139700</xdr:rowOff>
        </xdr:from>
        <xdr:to>
          <xdr:col>8</xdr:col>
          <xdr:colOff>139700</xdr:colOff>
          <xdr:row>11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889000</xdr:colOff>
          <xdr:row>25</xdr:row>
          <xdr:rowOff>38100</xdr:rowOff>
        </xdr:from>
        <xdr:to>
          <xdr:col>8</xdr:col>
          <xdr:colOff>152400</xdr:colOff>
          <xdr:row>28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863600</xdr:colOff>
          <xdr:row>45</xdr:row>
          <xdr:rowOff>38100</xdr:rowOff>
        </xdr:from>
        <xdr:to>
          <xdr:col>8</xdr:col>
          <xdr:colOff>139700</xdr:colOff>
          <xdr:row>48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965200</xdr:colOff>
          <xdr:row>69</xdr:row>
          <xdr:rowOff>215900</xdr:rowOff>
        </xdr:from>
        <xdr:to>
          <xdr:col>8</xdr:col>
          <xdr:colOff>215900</xdr:colOff>
          <xdr:row>73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977900</xdr:colOff>
          <xdr:row>94</xdr:row>
          <xdr:rowOff>139700</xdr:rowOff>
        </xdr:from>
        <xdr:to>
          <xdr:col>8</xdr:col>
          <xdr:colOff>241300</xdr:colOff>
          <xdr:row>98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1054100</xdr:colOff>
          <xdr:row>121</xdr:row>
          <xdr:rowOff>63500</xdr:rowOff>
        </xdr:from>
        <xdr:to>
          <xdr:col>8</xdr:col>
          <xdr:colOff>330200</xdr:colOff>
          <xdr:row>124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254000</xdr:colOff>
          <xdr:row>142</xdr:row>
          <xdr:rowOff>63500</xdr:rowOff>
        </xdr:from>
        <xdr:to>
          <xdr:col>9</xdr:col>
          <xdr:colOff>381000</xdr:colOff>
          <xdr:row>145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4A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203200</xdr:colOff>
          <xdr:row>159</xdr:row>
          <xdr:rowOff>101600</xdr:rowOff>
        </xdr:from>
        <xdr:to>
          <xdr:col>9</xdr:col>
          <xdr:colOff>330200</xdr:colOff>
          <xdr:row>162</xdr:row>
          <xdr:rowOff>139700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4B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9</xdr:row>
          <xdr:rowOff>139700</xdr:rowOff>
        </xdr:from>
        <xdr:to>
          <xdr:col>10</xdr:col>
          <xdr:colOff>469900</xdr:colOff>
          <xdr:row>13</xdr:row>
          <xdr:rowOff>25400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27</xdr:row>
          <xdr:rowOff>38100</xdr:rowOff>
        </xdr:from>
        <xdr:to>
          <xdr:col>10</xdr:col>
          <xdr:colOff>482600</xdr:colOff>
          <xdr:row>30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47</xdr:row>
          <xdr:rowOff>38100</xdr:rowOff>
        </xdr:from>
        <xdr:to>
          <xdr:col>10</xdr:col>
          <xdr:colOff>469900</xdr:colOff>
          <xdr:row>50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431800</xdr:colOff>
          <xdr:row>71</xdr:row>
          <xdr:rowOff>139700</xdr:rowOff>
        </xdr:from>
        <xdr:to>
          <xdr:col>11</xdr:col>
          <xdr:colOff>25400</xdr:colOff>
          <xdr:row>75</xdr:row>
          <xdr:rowOff>12700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444500</xdr:colOff>
          <xdr:row>96</xdr:row>
          <xdr:rowOff>139700</xdr:rowOff>
        </xdr:from>
        <xdr:to>
          <xdr:col>11</xdr:col>
          <xdr:colOff>38100</xdr:colOff>
          <xdr:row>100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123</xdr:row>
          <xdr:rowOff>63500</xdr:rowOff>
        </xdr:from>
        <xdr:to>
          <xdr:col>11</xdr:col>
          <xdr:colOff>127000</xdr:colOff>
          <xdr:row>126</xdr:row>
          <xdr:rowOff>101600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144</xdr:row>
          <xdr:rowOff>25400</xdr:rowOff>
        </xdr:from>
        <xdr:to>
          <xdr:col>11</xdr:col>
          <xdr:colOff>177800</xdr:colOff>
          <xdr:row>147</xdr:row>
          <xdr:rowOff>63500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162</xdr:row>
          <xdr:rowOff>12700</xdr:rowOff>
        </xdr:from>
        <xdr:to>
          <xdr:col>11</xdr:col>
          <xdr:colOff>165100</xdr:colOff>
          <xdr:row>165</xdr:row>
          <xdr:rowOff>50800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acobs040/Documents/Internal%20Work/Modeling/MOOC/Index%20Match%20Template%20Update%20M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tabSelected="1" workbookViewId="0">
      <selection activeCell="G1" sqref="G1"/>
    </sheetView>
  </sheetViews>
  <sheetFormatPr defaultColWidth="9" defaultRowHeight="12" x14ac:dyDescent="0.3"/>
  <sheetData>
    <row r="1" spans="1:1" ht="18.5" x14ac:dyDescent="0.45">
      <c r="A1" s="1" t="s">
        <v>86</v>
      </c>
    </row>
    <row r="2" spans="1:1" ht="18.5" x14ac:dyDescent="0.45">
      <c r="A2" s="1" t="s">
        <v>87</v>
      </c>
    </row>
    <row r="3" spans="1:1" ht="18.5" x14ac:dyDescent="0.45">
      <c r="A3" s="1" t="s">
        <v>2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workbookViewId="0">
      <selection activeCell="D1" sqref="D1"/>
    </sheetView>
  </sheetViews>
  <sheetFormatPr defaultColWidth="9.44140625" defaultRowHeight="12.5" x14ac:dyDescent="0.25"/>
  <cols>
    <col min="1" max="1" width="9.44140625" style="2"/>
    <col min="2" max="2" width="24.5546875" style="2" bestFit="1" customWidth="1"/>
    <col min="3" max="3" width="41.44140625" style="2" bestFit="1" customWidth="1"/>
    <col min="4" max="16384" width="9.44140625" style="2"/>
  </cols>
  <sheetData>
    <row r="1" spans="1:3" ht="13" x14ac:dyDescent="0.3">
      <c r="A1" s="3" t="str">
        <f>'Cover Page'!A1</f>
        <v xml:space="preserve">Problem Solving With Excel </v>
      </c>
    </row>
    <row r="2" spans="1:3" ht="13" x14ac:dyDescent="0.3">
      <c r="A2" s="3" t="str">
        <f>'Cover Page'!A2</f>
        <v>Week 4</v>
      </c>
    </row>
    <row r="3" spans="1:3" ht="13" x14ac:dyDescent="0.3">
      <c r="A3" s="3" t="str">
        <f>'Cover Page'!A3</f>
        <v>Index Match</v>
      </c>
    </row>
    <row r="4" spans="1:3" ht="13" x14ac:dyDescent="0.3">
      <c r="A4" s="3" t="s">
        <v>90</v>
      </c>
    </row>
    <row r="7" spans="1:3" ht="13.5" thickBot="1" x14ac:dyDescent="0.35">
      <c r="B7" s="52" t="s">
        <v>91</v>
      </c>
      <c r="C7" s="52" t="s">
        <v>92</v>
      </c>
    </row>
    <row r="8" spans="1:3" x14ac:dyDescent="0.25">
      <c r="B8" s="2" t="s">
        <v>0</v>
      </c>
      <c r="C8" s="2" t="s">
        <v>93</v>
      </c>
    </row>
    <row r="9" spans="1:3" x14ac:dyDescent="0.25">
      <c r="B9" s="2" t="s">
        <v>1</v>
      </c>
      <c r="C9" s="2" t="s">
        <v>94</v>
      </c>
    </row>
    <row r="10" spans="1:3" x14ac:dyDescent="0.25">
      <c r="B10" s="2" t="s">
        <v>95</v>
      </c>
      <c r="C10" s="2" t="s">
        <v>96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I50"/>
  <sheetViews>
    <sheetView showGridLines="0" workbookViewId="0">
      <selection activeCell="F2" sqref="F2"/>
    </sheetView>
  </sheetViews>
  <sheetFormatPr defaultColWidth="9.44140625" defaultRowHeight="12.5" outlineLevelRow="1" x14ac:dyDescent="0.25"/>
  <cols>
    <col min="1" max="1" width="9.44140625" style="2"/>
    <col min="2" max="2" width="18.44140625" style="2" customWidth="1"/>
    <col min="3" max="3" width="12" style="2" customWidth="1"/>
    <col min="4" max="4" width="15" style="2" customWidth="1"/>
    <col min="5" max="5" width="9.77734375" style="2" customWidth="1"/>
    <col min="6" max="6" width="13.21875" style="2" customWidth="1"/>
    <col min="7" max="7" width="9.44140625" style="2"/>
    <col min="8" max="8" width="11.44140625" style="2" bestFit="1" customWidth="1"/>
    <col min="9" max="16384" width="9.44140625" style="2"/>
  </cols>
  <sheetData>
    <row r="1" spans="1:6" ht="13" x14ac:dyDescent="0.3">
      <c r="A1" s="3" t="str">
        <f>'Cover Page'!A1</f>
        <v xml:space="preserve">Problem Solving With Excel </v>
      </c>
    </row>
    <row r="2" spans="1:6" ht="13" x14ac:dyDescent="0.3">
      <c r="A2" s="3" t="str">
        <f>'Cover Page'!A2</f>
        <v>Week 4</v>
      </c>
    </row>
    <row r="3" spans="1:6" ht="13" x14ac:dyDescent="0.3">
      <c r="A3" s="3" t="str">
        <f>'Cover Page'!A3</f>
        <v>Index Match</v>
      </c>
    </row>
    <row r="4" spans="1:6" ht="13" x14ac:dyDescent="0.3">
      <c r="A4" s="3" t="s">
        <v>0</v>
      </c>
    </row>
    <row r="7" spans="1:6" ht="18" x14ac:dyDescent="0.4">
      <c r="B7" s="51" t="s">
        <v>88</v>
      </c>
    </row>
    <row r="8" spans="1:6" hidden="1" outlineLevel="1" x14ac:dyDescent="0.25"/>
    <row r="9" spans="1:6" ht="23.5" hidden="1" outlineLevel="1" thickBot="1" x14ac:dyDescent="0.3">
      <c r="C9" s="5" t="s">
        <v>3</v>
      </c>
      <c r="D9" s="5" t="s">
        <v>98</v>
      </c>
      <c r="E9" s="5" t="s">
        <v>99</v>
      </c>
      <c r="F9" s="5" t="s">
        <v>4</v>
      </c>
    </row>
    <row r="10" spans="1:6" hidden="1" outlineLevel="1" x14ac:dyDescent="0.25">
      <c r="C10" s="2">
        <v>474.5</v>
      </c>
      <c r="D10" s="2">
        <f>C10*E10</f>
        <v>56.94</v>
      </c>
      <c r="E10" s="6">
        <v>0.12</v>
      </c>
      <c r="F10" s="2" t="s">
        <v>5</v>
      </c>
    </row>
    <row r="11" spans="1:6" hidden="1" outlineLevel="1" x14ac:dyDescent="0.25">
      <c r="C11" s="2">
        <v>1845</v>
      </c>
      <c r="D11" s="2">
        <f t="shared" ref="D11:D32" si="0">C11*E11</f>
        <v>276.75</v>
      </c>
      <c r="E11" s="6">
        <v>0.15</v>
      </c>
      <c r="F11" s="2" t="s">
        <v>6</v>
      </c>
    </row>
    <row r="12" spans="1:6" hidden="1" outlineLevel="1" x14ac:dyDescent="0.25">
      <c r="C12" s="2">
        <v>139.86000000000001</v>
      </c>
      <c r="D12" s="2">
        <f t="shared" si="0"/>
        <v>25.174800000000001</v>
      </c>
      <c r="E12" s="6">
        <v>0.18</v>
      </c>
      <c r="F12" s="2" t="s">
        <v>7</v>
      </c>
    </row>
    <row r="13" spans="1:6" hidden="1" outlineLevel="1" x14ac:dyDescent="0.25">
      <c r="C13" s="2">
        <v>678.30000000000007</v>
      </c>
      <c r="D13" s="2">
        <f t="shared" si="0"/>
        <v>128.87700000000001</v>
      </c>
      <c r="E13" s="6">
        <v>0.19</v>
      </c>
      <c r="F13" s="2" t="s">
        <v>8</v>
      </c>
    </row>
    <row r="14" spans="1:6" hidden="1" outlineLevel="1" x14ac:dyDescent="0.25">
      <c r="C14" s="2">
        <v>387</v>
      </c>
      <c r="D14" s="2">
        <f t="shared" si="0"/>
        <v>96.75</v>
      </c>
      <c r="E14" s="6">
        <v>0.25</v>
      </c>
      <c r="F14" s="2" t="s">
        <v>9</v>
      </c>
    </row>
    <row r="15" spans="1:6" hidden="1" outlineLevel="1" x14ac:dyDescent="0.25">
      <c r="C15" s="2">
        <v>492</v>
      </c>
      <c r="D15" s="2">
        <f t="shared" si="0"/>
        <v>295.2</v>
      </c>
      <c r="E15" s="6">
        <v>0.6</v>
      </c>
      <c r="F15" s="2" t="s">
        <v>10</v>
      </c>
    </row>
    <row r="16" spans="1:6" hidden="1" outlineLevel="1" x14ac:dyDescent="0.25">
      <c r="C16" s="2">
        <v>348</v>
      </c>
      <c r="D16" s="2">
        <f t="shared" si="0"/>
        <v>3.48</v>
      </c>
      <c r="E16" s="6">
        <v>0.01</v>
      </c>
      <c r="F16" s="2" t="s">
        <v>11</v>
      </c>
    </row>
    <row r="17" spans="3:6" hidden="1" outlineLevel="1" x14ac:dyDescent="0.25">
      <c r="C17" s="2">
        <v>468.33000000000004</v>
      </c>
      <c r="D17" s="2">
        <f t="shared" si="0"/>
        <v>18.733200000000004</v>
      </c>
      <c r="E17" s="6">
        <v>0.04</v>
      </c>
      <c r="F17" s="2" t="s">
        <v>12</v>
      </c>
    </row>
    <row r="18" spans="3:6" hidden="1" outlineLevel="1" x14ac:dyDescent="0.25">
      <c r="C18" s="2">
        <v>873.75</v>
      </c>
      <c r="D18" s="2">
        <f t="shared" si="0"/>
        <v>699</v>
      </c>
      <c r="E18" s="6">
        <v>0.8</v>
      </c>
      <c r="F18" s="2" t="s">
        <v>13</v>
      </c>
    </row>
    <row r="19" spans="3:6" hidden="1" outlineLevel="1" x14ac:dyDescent="0.25">
      <c r="C19" s="2">
        <v>461.5</v>
      </c>
      <c r="D19" s="2">
        <f t="shared" si="0"/>
        <v>184.60000000000002</v>
      </c>
      <c r="E19" s="6">
        <v>0.4</v>
      </c>
      <c r="F19" s="2" t="s">
        <v>14</v>
      </c>
    </row>
    <row r="20" spans="3:6" hidden="1" outlineLevel="1" x14ac:dyDescent="0.25">
      <c r="C20" s="2">
        <v>219.78</v>
      </c>
      <c r="D20" s="2">
        <f t="shared" si="0"/>
        <v>46.153799999999997</v>
      </c>
      <c r="E20" s="6">
        <v>0.21</v>
      </c>
      <c r="F20" s="2" t="s">
        <v>15</v>
      </c>
    </row>
    <row r="21" spans="3:6" hidden="1" outlineLevel="1" x14ac:dyDescent="0.25">
      <c r="C21" s="2">
        <v>459</v>
      </c>
      <c r="D21" s="2">
        <f t="shared" si="0"/>
        <v>160.64999999999998</v>
      </c>
      <c r="E21" s="6">
        <v>0.35</v>
      </c>
      <c r="F21" s="2" t="s">
        <v>11</v>
      </c>
    </row>
    <row r="22" spans="3:6" hidden="1" outlineLevel="1" x14ac:dyDescent="0.25">
      <c r="C22" s="2">
        <v>1269</v>
      </c>
      <c r="D22" s="2">
        <f t="shared" si="0"/>
        <v>532.98</v>
      </c>
      <c r="E22" s="6">
        <v>0.42</v>
      </c>
      <c r="F22" s="2" t="s">
        <v>16</v>
      </c>
    </row>
    <row r="23" spans="3:6" hidden="1" outlineLevel="1" x14ac:dyDescent="0.25">
      <c r="C23" s="2">
        <v>422.5</v>
      </c>
      <c r="D23" s="2">
        <f t="shared" si="0"/>
        <v>8.4499999999999993</v>
      </c>
      <c r="E23" s="6">
        <v>0.02</v>
      </c>
      <c r="F23" s="2" t="s">
        <v>17</v>
      </c>
    </row>
    <row r="24" spans="3:6" hidden="1" outlineLevel="1" x14ac:dyDescent="0.25">
      <c r="C24" s="2">
        <v>2856.5</v>
      </c>
      <c r="D24" s="2">
        <f t="shared" si="0"/>
        <v>1256.8599999999999</v>
      </c>
      <c r="E24" s="6">
        <v>0.44</v>
      </c>
      <c r="F24" s="2" t="s">
        <v>18</v>
      </c>
    </row>
    <row r="25" spans="3:6" hidden="1" outlineLevel="1" x14ac:dyDescent="0.25">
      <c r="C25" s="2">
        <v>30</v>
      </c>
      <c r="D25" s="2">
        <f t="shared" si="0"/>
        <v>18.600000000000001</v>
      </c>
      <c r="E25" s="6">
        <v>0.62</v>
      </c>
      <c r="F25" s="2" t="s">
        <v>19</v>
      </c>
    </row>
    <row r="26" spans="3:6" hidden="1" outlineLevel="1" x14ac:dyDescent="0.25">
      <c r="C26" s="2">
        <v>209.70000000000002</v>
      </c>
      <c r="D26" s="2">
        <f t="shared" si="0"/>
        <v>85.977000000000004</v>
      </c>
      <c r="E26" s="6">
        <v>0.41</v>
      </c>
      <c r="F26" s="2" t="s">
        <v>20</v>
      </c>
    </row>
    <row r="27" spans="3:6" hidden="1" outlineLevel="1" x14ac:dyDescent="0.25">
      <c r="C27" s="2">
        <v>603</v>
      </c>
      <c r="D27" s="2">
        <f t="shared" si="0"/>
        <v>120.60000000000001</v>
      </c>
      <c r="E27" s="6">
        <v>0.2</v>
      </c>
      <c r="F27" s="2" t="s">
        <v>21</v>
      </c>
    </row>
    <row r="28" spans="3:6" hidden="1" outlineLevel="1" x14ac:dyDescent="0.25">
      <c r="C28" s="2">
        <v>600</v>
      </c>
      <c r="D28" s="2">
        <f t="shared" si="0"/>
        <v>-60</v>
      </c>
      <c r="E28" s="6">
        <v>-0.1</v>
      </c>
      <c r="F28" s="2" t="s">
        <v>22</v>
      </c>
    </row>
    <row r="29" spans="3:6" hidden="1" outlineLevel="1" x14ac:dyDescent="0.25">
      <c r="C29" s="2">
        <v>2059</v>
      </c>
      <c r="D29" s="2">
        <f t="shared" si="0"/>
        <v>164.72</v>
      </c>
      <c r="E29" s="6">
        <v>0.08</v>
      </c>
      <c r="F29" s="2" t="s">
        <v>23</v>
      </c>
    </row>
    <row r="30" spans="3:6" hidden="1" outlineLevel="1" x14ac:dyDescent="0.25">
      <c r="C30" s="2">
        <v>607.5</v>
      </c>
      <c r="D30" s="2">
        <f t="shared" si="0"/>
        <v>103.27500000000001</v>
      </c>
      <c r="E30" s="6">
        <v>0.17</v>
      </c>
      <c r="F30" s="2" t="s">
        <v>24</v>
      </c>
    </row>
    <row r="31" spans="3:6" hidden="1" outlineLevel="1" x14ac:dyDescent="0.25">
      <c r="C31" s="2">
        <v>40.5</v>
      </c>
      <c r="D31" s="2">
        <f t="shared" si="0"/>
        <v>11.744999999999999</v>
      </c>
      <c r="E31" s="6">
        <v>0.28999999999999998</v>
      </c>
      <c r="F31" s="2" t="s">
        <v>25</v>
      </c>
    </row>
    <row r="32" spans="3:6" hidden="1" outlineLevel="1" x14ac:dyDescent="0.25">
      <c r="C32" s="2">
        <v>621</v>
      </c>
      <c r="D32" s="2">
        <f t="shared" si="0"/>
        <v>49.68</v>
      </c>
      <c r="E32" s="6">
        <v>0.08</v>
      </c>
      <c r="F32" s="2" t="s">
        <v>26</v>
      </c>
    </row>
    <row r="33" spans="2:9" hidden="1" outlineLevel="1" x14ac:dyDescent="0.25">
      <c r="D33" s="48"/>
    </row>
    <row r="34" spans="2:9" hidden="1" outlineLevel="1" x14ac:dyDescent="0.25"/>
    <row r="35" spans="2:9" ht="18" collapsed="1" x14ac:dyDescent="0.4">
      <c r="B35" s="51" t="s">
        <v>89</v>
      </c>
    </row>
    <row r="36" spans="2:9" hidden="1" outlineLevel="1" x14ac:dyDescent="0.25"/>
    <row r="37" spans="2:9" hidden="1" outlineLevel="1" x14ac:dyDescent="0.25"/>
    <row r="38" spans="2:9" ht="23.5" hidden="1" outlineLevel="1" thickBot="1" x14ac:dyDescent="0.3">
      <c r="B38" s="5" t="s">
        <v>68</v>
      </c>
      <c r="C38" s="5" t="s">
        <v>34</v>
      </c>
      <c r="D38" s="5" t="s">
        <v>35</v>
      </c>
      <c r="E38" s="5" t="s">
        <v>36</v>
      </c>
      <c r="F38" s="5" t="s">
        <v>37</v>
      </c>
      <c r="G38" s="5" t="s">
        <v>38</v>
      </c>
      <c r="H38" s="5" t="s">
        <v>39</v>
      </c>
      <c r="I38" s="5" t="s">
        <v>40</v>
      </c>
    </row>
    <row r="39" spans="2:9" hidden="1" outlineLevel="1" x14ac:dyDescent="0.25">
      <c r="B39" s="38" t="s">
        <v>41</v>
      </c>
      <c r="C39" s="39" t="s">
        <v>46</v>
      </c>
      <c r="D39" s="39" t="s">
        <v>47</v>
      </c>
      <c r="E39" s="39" t="s">
        <v>48</v>
      </c>
      <c r="F39" s="39" t="s">
        <v>49</v>
      </c>
      <c r="G39" s="39" t="s">
        <v>50</v>
      </c>
      <c r="H39" s="39" t="s">
        <v>46</v>
      </c>
      <c r="I39" s="39" t="s">
        <v>51</v>
      </c>
    </row>
    <row r="40" spans="2:9" hidden="1" outlineLevel="1" x14ac:dyDescent="0.25">
      <c r="B40" s="40" t="s">
        <v>42</v>
      </c>
      <c r="C40" s="41">
        <v>158</v>
      </c>
      <c r="D40" s="41">
        <v>168</v>
      </c>
      <c r="E40" s="41">
        <v>194</v>
      </c>
      <c r="F40" s="41">
        <v>145</v>
      </c>
      <c r="G40" s="41">
        <v>123</v>
      </c>
      <c r="H40" s="41">
        <v>162</v>
      </c>
      <c r="I40" s="41">
        <v>204</v>
      </c>
    </row>
    <row r="41" spans="2:9" hidden="1" outlineLevel="1" x14ac:dyDescent="0.25">
      <c r="B41" s="40" t="s">
        <v>43</v>
      </c>
      <c r="C41" s="41" t="s">
        <v>52</v>
      </c>
      <c r="D41" s="41" t="s">
        <v>52</v>
      </c>
      <c r="E41" s="41" t="s">
        <v>52</v>
      </c>
      <c r="F41" s="41" t="s">
        <v>53</v>
      </c>
      <c r="G41" s="41" t="s">
        <v>52</v>
      </c>
      <c r="H41" s="41" t="s">
        <v>53</v>
      </c>
      <c r="I41" s="41" t="s">
        <v>52</v>
      </c>
    </row>
    <row r="42" spans="2:9" hidden="1" outlineLevel="1" x14ac:dyDescent="0.25">
      <c r="B42" s="40" t="s">
        <v>54</v>
      </c>
      <c r="C42" s="41" t="s">
        <v>55</v>
      </c>
      <c r="D42" s="41" t="s">
        <v>56</v>
      </c>
      <c r="E42" s="41" t="s">
        <v>57</v>
      </c>
      <c r="F42" s="41" t="s">
        <v>58</v>
      </c>
      <c r="G42" s="41" t="s">
        <v>59</v>
      </c>
      <c r="H42" s="41" t="s">
        <v>60</v>
      </c>
      <c r="I42" s="41" t="s">
        <v>61</v>
      </c>
    </row>
    <row r="43" spans="2:9" hidden="1" outlineLevel="1" x14ac:dyDescent="0.25">
      <c r="B43" s="40" t="s">
        <v>44</v>
      </c>
      <c r="C43" s="41" t="s">
        <v>62</v>
      </c>
      <c r="D43" s="41" t="s">
        <v>63</v>
      </c>
      <c r="E43" s="41" t="s">
        <v>64</v>
      </c>
      <c r="F43" s="41" t="s">
        <v>65</v>
      </c>
      <c r="G43" s="41" t="s">
        <v>63</v>
      </c>
      <c r="H43" s="41" t="s">
        <v>62</v>
      </c>
      <c r="I43" s="41" t="s">
        <v>64</v>
      </c>
    </row>
    <row r="44" spans="2:9" hidden="1" outlineLevel="1" x14ac:dyDescent="0.25">
      <c r="B44" s="42" t="s">
        <v>45</v>
      </c>
      <c r="C44" s="43" t="s">
        <v>66</v>
      </c>
      <c r="D44" s="43" t="s">
        <v>67</v>
      </c>
      <c r="E44" s="43" t="s">
        <v>62</v>
      </c>
      <c r="F44" s="43" t="s">
        <v>67</v>
      </c>
      <c r="G44" s="43" t="s">
        <v>62</v>
      </c>
      <c r="H44" s="43" t="s">
        <v>67</v>
      </c>
      <c r="I44" s="43" t="s">
        <v>67</v>
      </c>
    </row>
    <row r="45" spans="2:9" hidden="1" outlineLevel="1" x14ac:dyDescent="0.25"/>
    <row r="46" spans="2:9" hidden="1" outlineLevel="1" x14ac:dyDescent="0.25"/>
    <row r="47" spans="2:9" hidden="1" outlineLevel="1" x14ac:dyDescent="0.25"/>
    <row r="48" spans="2:9" hidden="1" outlineLevel="1" x14ac:dyDescent="0.25"/>
    <row r="49" hidden="1" outlineLevel="1" x14ac:dyDescent="0.25"/>
    <row r="50" collapsed="1" x14ac:dyDescent="0.25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167"/>
  <sheetViews>
    <sheetView showGridLines="0" workbookViewId="0">
      <selection activeCell="C2" sqref="C2"/>
    </sheetView>
  </sheetViews>
  <sheetFormatPr defaultColWidth="9.44140625" defaultRowHeight="13" outlineLevelRow="1" x14ac:dyDescent="0.3"/>
  <cols>
    <col min="1" max="1" width="9.44140625" style="2"/>
    <col min="2" max="2" width="91.21875" style="2" bestFit="1" customWidth="1"/>
    <col min="3" max="3" width="15.5546875" style="2" bestFit="1" customWidth="1"/>
    <col min="4" max="4" width="27.77734375" style="2" customWidth="1"/>
    <col min="5" max="5" width="33.44140625" style="2" bestFit="1" customWidth="1"/>
    <col min="6" max="6" width="24.44140625" style="2" customWidth="1"/>
    <col min="7" max="15" width="9.44140625" style="2"/>
    <col min="16" max="16" width="39.77734375" customWidth="1"/>
    <col min="17" max="17" width="3.77734375" customWidth="1"/>
    <col min="18" max="18" width="70.21875" customWidth="1"/>
    <col min="20" max="16384" width="9.44140625" style="2"/>
  </cols>
  <sheetData>
    <row r="1" spans="1:5" x14ac:dyDescent="0.3">
      <c r="A1" s="3" t="str">
        <f>'Cover Page'!A1</f>
        <v xml:space="preserve">Problem Solving With Excel </v>
      </c>
    </row>
    <row r="2" spans="1:5" x14ac:dyDescent="0.3">
      <c r="A2" s="3" t="str">
        <f>'Cover Page'!A2</f>
        <v>Week 4</v>
      </c>
    </row>
    <row r="3" spans="1:5" x14ac:dyDescent="0.3">
      <c r="A3" s="3" t="str">
        <f>'Cover Page'!A3</f>
        <v>Index Match</v>
      </c>
    </row>
    <row r="4" spans="1:5" x14ac:dyDescent="0.3">
      <c r="A4" s="3" t="s">
        <v>1</v>
      </c>
    </row>
    <row r="7" spans="1:5" ht="18.5" x14ac:dyDescent="0.45">
      <c r="B7" s="4" t="s">
        <v>79</v>
      </c>
    </row>
    <row r="8" spans="1:5" hidden="1" outlineLevel="1" x14ac:dyDescent="0.3"/>
    <row r="9" spans="1:5" hidden="1" outlineLevel="1" x14ac:dyDescent="0.3">
      <c r="B9" s="7" t="s">
        <v>27</v>
      </c>
      <c r="C9" s="8"/>
      <c r="D9" s="9"/>
      <c r="E9" s="10"/>
    </row>
    <row r="10" spans="1:5" hidden="1" outlineLevel="1" x14ac:dyDescent="0.3">
      <c r="B10" s="11" t="s">
        <v>71</v>
      </c>
      <c r="C10" s="11"/>
      <c r="D10" s="12">
        <v>3</v>
      </c>
      <c r="E10" s="13"/>
    </row>
    <row r="11" spans="1:5" hidden="1" outlineLevel="1" x14ac:dyDescent="0.3"/>
    <row r="12" spans="1:5" hidden="1" outlineLevel="1" x14ac:dyDescent="0.3"/>
    <row r="13" spans="1:5" hidden="1" outlineLevel="1" x14ac:dyDescent="0.3"/>
    <row r="14" spans="1:5" hidden="1" outlineLevel="1" x14ac:dyDescent="0.3"/>
    <row r="15" spans="1:5" hidden="1" outlineLevel="1" x14ac:dyDescent="0.3"/>
    <row r="16" spans="1:5" hidden="1" outlineLevel="1" x14ac:dyDescent="0.3"/>
    <row r="17" spans="2:5" hidden="1" outlineLevel="1" x14ac:dyDescent="0.3"/>
    <row r="18" spans="2:5" hidden="1" outlineLevel="1" x14ac:dyDescent="0.3"/>
    <row r="19" spans="2:5" hidden="1" outlineLevel="1" x14ac:dyDescent="0.3"/>
    <row r="20" spans="2:5" hidden="1" outlineLevel="1" x14ac:dyDescent="0.3"/>
    <row r="21" spans="2:5" hidden="1" outlineLevel="1" x14ac:dyDescent="0.3"/>
    <row r="22" spans="2:5" hidden="1" outlineLevel="1" x14ac:dyDescent="0.3"/>
    <row r="23" spans="2:5" hidden="1" outlineLevel="1" x14ac:dyDescent="0.3"/>
    <row r="24" spans="2:5" ht="18.5" collapsed="1" x14ac:dyDescent="0.45">
      <c r="B24" s="4" t="s">
        <v>78</v>
      </c>
    </row>
    <row r="25" spans="2:5" hidden="1" outlineLevel="1" x14ac:dyDescent="0.3"/>
    <row r="26" spans="2:5" hidden="1" outlineLevel="1" x14ac:dyDescent="0.3">
      <c r="B26" s="7" t="s">
        <v>28</v>
      </c>
      <c r="C26" s="8"/>
      <c r="D26" s="9"/>
      <c r="E26" s="10"/>
    </row>
    <row r="27" spans="2:5" hidden="1" outlineLevel="1" x14ac:dyDescent="0.3">
      <c r="B27" s="11" t="s">
        <v>72</v>
      </c>
      <c r="C27" s="11"/>
      <c r="D27" s="12">
        <v>5</v>
      </c>
      <c r="E27" s="13"/>
    </row>
    <row r="28" spans="2:5" hidden="1" outlineLevel="1" x14ac:dyDescent="0.3"/>
    <row r="29" spans="2:5" hidden="1" outlineLevel="1" x14ac:dyDescent="0.3"/>
    <row r="30" spans="2:5" hidden="1" outlineLevel="1" x14ac:dyDescent="0.3"/>
    <row r="31" spans="2:5" hidden="1" outlineLevel="1" x14ac:dyDescent="0.3"/>
    <row r="32" spans="2:5" hidden="1" outlineLevel="1" x14ac:dyDescent="0.3"/>
    <row r="33" spans="2:5" hidden="1" outlineLevel="1" x14ac:dyDescent="0.3"/>
    <row r="34" spans="2:5" hidden="1" outlineLevel="1" x14ac:dyDescent="0.3"/>
    <row r="35" spans="2:5" hidden="1" outlineLevel="1" x14ac:dyDescent="0.3"/>
    <row r="36" spans="2:5" hidden="1" outlineLevel="1" x14ac:dyDescent="0.3"/>
    <row r="37" spans="2:5" hidden="1" outlineLevel="1" x14ac:dyDescent="0.3"/>
    <row r="38" spans="2:5" hidden="1" outlineLevel="1" x14ac:dyDescent="0.3"/>
    <row r="39" spans="2:5" hidden="1" outlineLevel="1" x14ac:dyDescent="0.3"/>
    <row r="40" spans="2:5" hidden="1" outlineLevel="1" x14ac:dyDescent="0.3"/>
    <row r="41" spans="2:5" hidden="1" outlineLevel="1" x14ac:dyDescent="0.3"/>
    <row r="42" spans="2:5" hidden="1" outlineLevel="1" x14ac:dyDescent="0.3"/>
    <row r="43" spans="2:5" hidden="1" outlineLevel="1" x14ac:dyDescent="0.3"/>
    <row r="44" spans="2:5" hidden="1" outlineLevel="1" x14ac:dyDescent="0.3"/>
    <row r="45" spans="2:5" ht="18.5" collapsed="1" x14ac:dyDescent="0.45">
      <c r="B45" s="4" t="s">
        <v>80</v>
      </c>
    </row>
    <row r="46" spans="2:5" hidden="1" outlineLevel="1" x14ac:dyDescent="0.3"/>
    <row r="47" spans="2:5" hidden="1" outlineLevel="1" x14ac:dyDescent="0.3">
      <c r="B47" s="7" t="s">
        <v>29</v>
      </c>
      <c r="C47" s="8"/>
      <c r="D47" s="9"/>
      <c r="E47" s="10"/>
    </row>
    <row r="48" spans="2:5" hidden="1" outlineLevel="1" x14ac:dyDescent="0.3">
      <c r="B48" s="11" t="s">
        <v>73</v>
      </c>
      <c r="C48" s="11"/>
      <c r="D48" s="12" t="s">
        <v>11</v>
      </c>
      <c r="E48" s="50"/>
    </row>
    <row r="49" hidden="1" outlineLevel="1" x14ac:dyDescent="0.3"/>
    <row r="50" hidden="1" outlineLevel="1" x14ac:dyDescent="0.3"/>
    <row r="51" hidden="1" outlineLevel="1" x14ac:dyDescent="0.3"/>
    <row r="52" hidden="1" outlineLevel="1" x14ac:dyDescent="0.3"/>
    <row r="53" hidden="1" outlineLevel="1" x14ac:dyDescent="0.3"/>
    <row r="54" hidden="1" outlineLevel="1" x14ac:dyDescent="0.3"/>
    <row r="55" hidden="1" outlineLevel="1" x14ac:dyDescent="0.3"/>
    <row r="56" hidden="1" outlineLevel="1" x14ac:dyDescent="0.3"/>
    <row r="57" hidden="1" outlineLevel="1" x14ac:dyDescent="0.3"/>
    <row r="58" hidden="1" outlineLevel="1" x14ac:dyDescent="0.3"/>
    <row r="59" hidden="1" outlineLevel="1" x14ac:dyDescent="0.3"/>
    <row r="60" hidden="1" outlineLevel="1" x14ac:dyDescent="0.3"/>
    <row r="61" hidden="1" outlineLevel="1" x14ac:dyDescent="0.3"/>
    <row r="62" hidden="1" outlineLevel="1" x14ac:dyDescent="0.3"/>
    <row r="63" hidden="1" outlineLevel="1" x14ac:dyDescent="0.3"/>
    <row r="64" hidden="1" outlineLevel="1" x14ac:dyDescent="0.3"/>
    <row r="65" spans="2:5" hidden="1" outlineLevel="1" x14ac:dyDescent="0.3"/>
    <row r="66" spans="2:5" hidden="1" outlineLevel="1" x14ac:dyDescent="0.3"/>
    <row r="67" spans="2:5" hidden="1" outlineLevel="1" x14ac:dyDescent="0.3"/>
    <row r="68" spans="2:5" hidden="1" outlineLevel="1" x14ac:dyDescent="0.3"/>
    <row r="69" spans="2:5" hidden="1" outlineLevel="1" x14ac:dyDescent="0.3"/>
    <row r="70" spans="2:5" ht="18.5" collapsed="1" x14ac:dyDescent="0.45">
      <c r="B70" s="4" t="s">
        <v>81</v>
      </c>
    </row>
    <row r="71" spans="2:5" hidden="1" outlineLevel="1" x14ac:dyDescent="0.3"/>
    <row r="72" spans="2:5" hidden="1" outlineLevel="1" x14ac:dyDescent="0.3">
      <c r="B72" s="7" t="s">
        <v>29</v>
      </c>
      <c r="C72" s="8"/>
      <c r="D72" s="9"/>
      <c r="E72" s="10"/>
    </row>
    <row r="73" spans="2:5" hidden="1" outlineLevel="1" x14ac:dyDescent="0.3">
      <c r="B73" s="14" t="s">
        <v>74</v>
      </c>
      <c r="C73" s="17"/>
      <c r="D73" s="15" t="s">
        <v>98</v>
      </c>
      <c r="E73" s="16"/>
    </row>
    <row r="74" spans="2:5" hidden="1" outlineLevel="1" x14ac:dyDescent="0.3"/>
    <row r="75" spans="2:5" hidden="1" outlineLevel="1" x14ac:dyDescent="0.3"/>
    <row r="76" spans="2:5" hidden="1" outlineLevel="1" x14ac:dyDescent="0.3"/>
    <row r="77" spans="2:5" hidden="1" outlineLevel="1" x14ac:dyDescent="0.3"/>
    <row r="78" spans="2:5" hidden="1" outlineLevel="1" x14ac:dyDescent="0.3"/>
    <row r="79" spans="2:5" hidden="1" outlineLevel="1" x14ac:dyDescent="0.3"/>
    <row r="80" spans="2:5" hidden="1" outlineLevel="1" x14ac:dyDescent="0.3"/>
    <row r="81" spans="2:6" hidden="1" outlineLevel="1" x14ac:dyDescent="0.3"/>
    <row r="82" spans="2:6" hidden="1" outlineLevel="1" x14ac:dyDescent="0.3"/>
    <row r="83" spans="2:6" hidden="1" outlineLevel="1" x14ac:dyDescent="0.3"/>
    <row r="84" spans="2:6" hidden="1" outlineLevel="1" x14ac:dyDescent="0.3"/>
    <row r="85" spans="2:6" hidden="1" outlineLevel="1" x14ac:dyDescent="0.3"/>
    <row r="86" spans="2:6" hidden="1" outlineLevel="1" x14ac:dyDescent="0.3"/>
    <row r="87" spans="2:6" hidden="1" outlineLevel="1" x14ac:dyDescent="0.3"/>
    <row r="88" spans="2:6" hidden="1" outlineLevel="1" x14ac:dyDescent="0.3"/>
    <row r="89" spans="2:6" hidden="1" outlineLevel="1" x14ac:dyDescent="0.3"/>
    <row r="90" spans="2:6" hidden="1" outlineLevel="1" x14ac:dyDescent="0.3"/>
    <row r="91" spans="2:6" hidden="1" outlineLevel="1" x14ac:dyDescent="0.3"/>
    <row r="92" spans="2:6" hidden="1" outlineLevel="1" x14ac:dyDescent="0.3"/>
    <row r="93" spans="2:6" ht="18.5" collapsed="1" x14ac:dyDescent="0.45">
      <c r="B93" s="4" t="s">
        <v>82</v>
      </c>
    </row>
    <row r="94" spans="2:6" hidden="1" outlineLevel="1" x14ac:dyDescent="0.3"/>
    <row r="95" spans="2:6" hidden="1" outlineLevel="1" x14ac:dyDescent="0.3">
      <c r="B95"/>
      <c r="C95"/>
      <c r="D95"/>
      <c r="E95"/>
      <c r="F95"/>
    </row>
    <row r="96" spans="2:6" hidden="1" outlineLevel="1" x14ac:dyDescent="0.3">
      <c r="B96" s="18" t="s">
        <v>30</v>
      </c>
      <c r="C96" s="18"/>
      <c r="D96" s="18"/>
      <c r="E96" s="19"/>
    </row>
    <row r="97" spans="2:5" hidden="1" outlineLevel="1" x14ac:dyDescent="0.3">
      <c r="B97" s="20" t="s">
        <v>31</v>
      </c>
      <c r="C97" s="21"/>
      <c r="D97" s="20"/>
      <c r="E97" s="20"/>
    </row>
    <row r="98" spans="2:5" hidden="1" outlineLevel="1" x14ac:dyDescent="0.3">
      <c r="B98" s="22" t="s">
        <v>4</v>
      </c>
      <c r="C98" s="23" t="s">
        <v>32</v>
      </c>
      <c r="D98" s="23" t="s">
        <v>3</v>
      </c>
      <c r="E98" s="23" t="s">
        <v>3</v>
      </c>
    </row>
    <row r="99" spans="2:5" hidden="1" outlineLevel="1" x14ac:dyDescent="0.3">
      <c r="B99" s="20"/>
      <c r="C99" s="24"/>
      <c r="D99" s="25" t="s">
        <v>69</v>
      </c>
      <c r="E99" s="25" t="s">
        <v>33</v>
      </c>
    </row>
    <row r="100" spans="2:5" hidden="1" outlineLevel="1" x14ac:dyDescent="0.3">
      <c r="B100" s="26" t="s">
        <v>16</v>
      </c>
      <c r="C100" s="27"/>
      <c r="D100" s="28"/>
      <c r="E100" s="28"/>
    </row>
    <row r="101" spans="2:5" hidden="1" outlineLevel="1" x14ac:dyDescent="0.3"/>
    <row r="102" spans="2:5" hidden="1" outlineLevel="1" x14ac:dyDescent="0.3"/>
    <row r="103" spans="2:5" hidden="1" outlineLevel="1" x14ac:dyDescent="0.3"/>
    <row r="104" spans="2:5" hidden="1" outlineLevel="1" x14ac:dyDescent="0.3"/>
    <row r="105" spans="2:5" hidden="1" outlineLevel="1" x14ac:dyDescent="0.3"/>
    <row r="106" spans="2:5" hidden="1" outlineLevel="1" x14ac:dyDescent="0.3"/>
    <row r="107" spans="2:5" hidden="1" outlineLevel="1" x14ac:dyDescent="0.3"/>
    <row r="108" spans="2:5" hidden="1" outlineLevel="1" x14ac:dyDescent="0.3"/>
    <row r="109" spans="2:5" hidden="1" outlineLevel="1" x14ac:dyDescent="0.3"/>
    <row r="110" spans="2:5" hidden="1" outlineLevel="1" x14ac:dyDescent="0.3"/>
    <row r="111" spans="2:5" hidden="1" outlineLevel="1" x14ac:dyDescent="0.3"/>
    <row r="112" spans="2:5" hidden="1" outlineLevel="1" x14ac:dyDescent="0.3"/>
    <row r="113" spans="2:5" hidden="1" outlineLevel="1" x14ac:dyDescent="0.3"/>
    <row r="114" spans="2:5" hidden="1" outlineLevel="1" x14ac:dyDescent="0.3"/>
    <row r="115" spans="2:5" hidden="1" outlineLevel="1" x14ac:dyDescent="0.3"/>
    <row r="116" spans="2:5" hidden="1" outlineLevel="1" x14ac:dyDescent="0.3"/>
    <row r="117" spans="2:5" hidden="1" outlineLevel="1" x14ac:dyDescent="0.3"/>
    <row r="118" spans="2:5" hidden="1" outlineLevel="1" x14ac:dyDescent="0.3"/>
    <row r="119" spans="2:5" ht="18.5" collapsed="1" x14ac:dyDescent="0.45">
      <c r="B119" s="4" t="s">
        <v>83</v>
      </c>
    </row>
    <row r="120" spans="2:5" hidden="1" outlineLevel="1" x14ac:dyDescent="0.3"/>
    <row r="121" spans="2:5" hidden="1" outlineLevel="1" x14ac:dyDescent="0.3">
      <c r="B121" s="29" t="s">
        <v>30</v>
      </c>
      <c r="C121" s="30"/>
      <c r="D121" s="31"/>
      <c r="E121" s="32"/>
    </row>
    <row r="122" spans="2:5" hidden="1" outlineLevel="1" x14ac:dyDescent="0.3">
      <c r="B122" s="33" t="s">
        <v>100</v>
      </c>
      <c r="C122" s="34"/>
      <c r="D122" s="35"/>
      <c r="E122" s="16"/>
    </row>
    <row r="123" spans="2:5" hidden="1" outlineLevel="1" x14ac:dyDescent="0.3">
      <c r="B123" s="22" t="s">
        <v>4</v>
      </c>
      <c r="C123" s="23" t="s">
        <v>32</v>
      </c>
      <c r="D123" s="23" t="s">
        <v>98</v>
      </c>
      <c r="E123" s="23" t="s">
        <v>98</v>
      </c>
    </row>
    <row r="124" spans="2:5" hidden="1" outlineLevel="1" x14ac:dyDescent="0.3">
      <c r="B124" s="20"/>
      <c r="C124" s="24"/>
      <c r="D124" s="25" t="s">
        <v>69</v>
      </c>
      <c r="E124" s="25" t="s">
        <v>33</v>
      </c>
    </row>
    <row r="125" spans="2:5" hidden="1" outlineLevel="1" x14ac:dyDescent="0.3">
      <c r="B125" s="26" t="s">
        <v>8</v>
      </c>
      <c r="C125" s="27"/>
      <c r="D125" s="28"/>
      <c r="E125" s="28"/>
    </row>
    <row r="126" spans="2:5" hidden="1" outlineLevel="1" x14ac:dyDescent="0.3">
      <c r="B126" s="26" t="s">
        <v>24</v>
      </c>
      <c r="C126" s="27"/>
      <c r="D126" s="28"/>
      <c r="E126" s="28"/>
    </row>
    <row r="127" spans="2:5" hidden="1" outlineLevel="1" x14ac:dyDescent="0.3">
      <c r="B127" s="26" t="s">
        <v>22</v>
      </c>
      <c r="C127" s="27"/>
      <c r="D127" s="28"/>
      <c r="E127" s="28"/>
    </row>
    <row r="128" spans="2:5" hidden="1" outlineLevel="1" x14ac:dyDescent="0.3">
      <c r="B128" s="26" t="s">
        <v>26</v>
      </c>
      <c r="C128" s="27"/>
      <c r="D128" s="28"/>
      <c r="E128" s="28"/>
    </row>
    <row r="129" spans="1:6" hidden="1" outlineLevel="1" x14ac:dyDescent="0.3">
      <c r="B129" s="26" t="s">
        <v>17</v>
      </c>
      <c r="C129" s="27"/>
      <c r="D129" s="28"/>
      <c r="E129" s="28"/>
    </row>
    <row r="130" spans="1:6" hidden="1" outlineLevel="1" x14ac:dyDescent="0.3">
      <c r="B130" s="26" t="s">
        <v>11</v>
      </c>
      <c r="C130" s="27"/>
      <c r="D130" s="28"/>
      <c r="E130" s="28"/>
    </row>
    <row r="131" spans="1:6" hidden="1" outlineLevel="1" x14ac:dyDescent="0.3"/>
    <row r="132" spans="1:6" hidden="1" outlineLevel="1" x14ac:dyDescent="0.3"/>
    <row r="133" spans="1:6" hidden="1" outlineLevel="1" x14ac:dyDescent="0.3"/>
    <row r="134" spans="1:6" hidden="1" outlineLevel="1" x14ac:dyDescent="0.3"/>
    <row r="135" spans="1:6" hidden="1" outlineLevel="1" x14ac:dyDescent="0.3"/>
    <row r="136" spans="1:6" hidden="1" outlineLevel="1" x14ac:dyDescent="0.3"/>
    <row r="137" spans="1:6" hidden="1" outlineLevel="1" x14ac:dyDescent="0.3"/>
    <row r="138" spans="1:6" hidden="1" outlineLevel="1" x14ac:dyDescent="0.3"/>
    <row r="139" spans="1:6" hidden="1" outlineLevel="1" x14ac:dyDescent="0.3"/>
    <row r="140" spans="1:6" hidden="1" outlineLevel="1" x14ac:dyDescent="0.3"/>
    <row r="141" spans="1:6" ht="18.5" collapsed="1" x14ac:dyDescent="0.45">
      <c r="B141" s="4" t="s">
        <v>84</v>
      </c>
    </row>
    <row r="142" spans="1:6" hidden="1" outlineLevel="1" x14ac:dyDescent="0.3"/>
    <row r="143" spans="1:6" customFormat="1" hidden="1" outlineLevel="1" x14ac:dyDescent="0.3">
      <c r="A143" s="2"/>
      <c r="B143" s="29" t="s">
        <v>30</v>
      </c>
      <c r="C143" s="30"/>
      <c r="D143" s="30"/>
      <c r="E143" s="31"/>
      <c r="F143" s="32"/>
    </row>
    <row r="144" spans="1:6" customFormat="1" hidden="1" outlineLevel="1" x14ac:dyDescent="0.3">
      <c r="A144" s="2"/>
      <c r="B144" s="33" t="s">
        <v>36</v>
      </c>
      <c r="C144" s="34" t="s">
        <v>75</v>
      </c>
      <c r="D144" s="34"/>
      <c r="E144" s="35"/>
    </row>
    <row r="145" spans="2:10" hidden="1" outlineLevel="1" x14ac:dyDescent="0.3">
      <c r="B145" s="22" t="s">
        <v>4</v>
      </c>
      <c r="C145" s="23" t="s">
        <v>32</v>
      </c>
      <c r="D145" s="23" t="s">
        <v>32</v>
      </c>
      <c r="E145" s="23" t="s">
        <v>28</v>
      </c>
      <c r="F145" s="23"/>
    </row>
    <row r="146" spans="2:10" hidden="1" outlineLevel="1" x14ac:dyDescent="0.3">
      <c r="B146" s="20"/>
      <c r="C146" s="33" t="s">
        <v>36</v>
      </c>
      <c r="D146" s="24" t="s">
        <v>76</v>
      </c>
      <c r="E146" s="25" t="s">
        <v>77</v>
      </c>
      <c r="F146" s="25" t="s">
        <v>70</v>
      </c>
    </row>
    <row r="147" spans="2:10" hidden="1" outlineLevel="1" x14ac:dyDescent="0.3">
      <c r="B147" s="26" t="s">
        <v>45</v>
      </c>
      <c r="C147" s="27"/>
      <c r="D147" s="27"/>
      <c r="E147" s="28"/>
      <c r="F147" s="28"/>
    </row>
    <row r="148" spans="2:10" hidden="1" outlineLevel="1" x14ac:dyDescent="0.3">
      <c r="B148" s="26" t="s">
        <v>43</v>
      </c>
      <c r="C148" s="27"/>
      <c r="D148" s="27"/>
      <c r="E148" s="28"/>
      <c r="F148" s="28"/>
      <c r="G148"/>
    </row>
    <row r="149" spans="2:10" hidden="1" outlineLevel="1" x14ac:dyDescent="0.3">
      <c r="B149" s="26" t="s">
        <v>41</v>
      </c>
      <c r="C149" s="27"/>
      <c r="D149" s="27"/>
      <c r="E149" s="28"/>
      <c r="F149" s="28"/>
      <c r="G149"/>
    </row>
    <row r="150" spans="2:10" hidden="1" outlineLevel="1" x14ac:dyDescent="0.3">
      <c r="B150" s="26" t="s">
        <v>42</v>
      </c>
      <c r="C150" s="27"/>
      <c r="D150" s="27"/>
      <c r="E150" s="49"/>
      <c r="F150" s="49"/>
      <c r="G150"/>
    </row>
    <row r="151" spans="2:10" hidden="1" outlineLevel="1" x14ac:dyDescent="0.3">
      <c r="B151"/>
      <c r="C151"/>
      <c r="D151"/>
      <c r="E151"/>
      <c r="F151"/>
      <c r="G151"/>
    </row>
    <row r="152" spans="2:10" hidden="1" outlineLevel="1" x14ac:dyDescent="0.3">
      <c r="B152"/>
      <c r="C152"/>
      <c r="D152"/>
      <c r="E152"/>
      <c r="F152"/>
      <c r="G152"/>
    </row>
    <row r="153" spans="2:10" hidden="1" outlineLevel="1" x14ac:dyDescent="0.3">
      <c r="B153"/>
      <c r="C153"/>
      <c r="D153"/>
      <c r="E153"/>
      <c r="F153"/>
      <c r="G153"/>
    </row>
    <row r="154" spans="2:10" hidden="1" outlineLevel="1" x14ac:dyDescent="0.3"/>
    <row r="155" spans="2:10" hidden="1" outlineLevel="1" x14ac:dyDescent="0.3"/>
    <row r="156" spans="2:10" hidden="1" outlineLevel="1" x14ac:dyDescent="0.3"/>
    <row r="157" spans="2:10" hidden="1" outlineLevel="1" x14ac:dyDescent="0.3"/>
    <row r="158" spans="2:10" ht="18.5" collapsed="1" x14ac:dyDescent="0.45">
      <c r="B158" s="4" t="s">
        <v>85</v>
      </c>
    </row>
    <row r="159" spans="2:10" hidden="1" outlineLevel="1" x14ac:dyDescent="0.3"/>
    <row r="160" spans="2:10" ht="13.5" hidden="1" outlineLevel="1" thickBot="1" x14ac:dyDescent="0.35">
      <c r="B160" s="5" t="s">
        <v>68</v>
      </c>
      <c r="C160" s="5" t="s">
        <v>37</v>
      </c>
      <c r="D160" s="5" t="s">
        <v>39</v>
      </c>
      <c r="E160" s="5" t="s">
        <v>40</v>
      </c>
      <c r="G160"/>
      <c r="H160"/>
      <c r="I160"/>
      <c r="J160"/>
    </row>
    <row r="161" spans="2:11" hidden="1" outlineLevel="1" x14ac:dyDescent="0.3">
      <c r="B161" s="36" t="s">
        <v>54</v>
      </c>
      <c r="C161" s="44"/>
      <c r="D161" s="45"/>
      <c r="E161" s="45"/>
      <c r="G161" s="46"/>
      <c r="H161"/>
      <c r="I161"/>
      <c r="J161"/>
    </row>
    <row r="162" spans="2:11" hidden="1" outlineLevel="1" x14ac:dyDescent="0.3">
      <c r="B162" s="37" t="s">
        <v>43</v>
      </c>
      <c r="C162" s="47"/>
      <c r="D162" s="47"/>
      <c r="E162" s="47"/>
      <c r="G162" s="46"/>
      <c r="H162"/>
      <c r="I162"/>
      <c r="J162"/>
    </row>
    <row r="163" spans="2:11" hidden="1" outlineLevel="1" x14ac:dyDescent="0.3">
      <c r="B163" s="37" t="s">
        <v>41</v>
      </c>
      <c r="C163" s="47"/>
      <c r="D163" s="47"/>
      <c r="E163" s="47"/>
      <c r="G163" s="46"/>
      <c r="H163"/>
      <c r="I163"/>
      <c r="J163"/>
    </row>
    <row r="164" spans="2:11" hidden="1" outlineLevel="1" x14ac:dyDescent="0.3">
      <c r="B164" s="37" t="s">
        <v>42</v>
      </c>
      <c r="C164" s="47"/>
      <c r="D164" s="47"/>
      <c r="E164" s="47"/>
      <c r="G164" s="46"/>
      <c r="H164"/>
      <c r="I164"/>
      <c r="J164"/>
      <c r="K164" s="2" t="s">
        <v>97</v>
      </c>
    </row>
    <row r="165" spans="2:11" hidden="1" outlineLevel="1" x14ac:dyDescent="0.3">
      <c r="B165" s="37" t="s">
        <v>44</v>
      </c>
      <c r="C165" s="47"/>
      <c r="D165" s="47"/>
      <c r="E165" s="47"/>
      <c r="G165" s="46"/>
      <c r="H165"/>
      <c r="I165"/>
      <c r="J165"/>
    </row>
    <row r="166" spans="2:11" hidden="1" outlineLevel="1" x14ac:dyDescent="0.3">
      <c r="B166" s="37" t="s">
        <v>45</v>
      </c>
      <c r="C166" s="47"/>
      <c r="D166" s="47"/>
      <c r="E166" s="47"/>
      <c r="G166" s="46"/>
      <c r="H166"/>
      <c r="I166"/>
      <c r="J166"/>
    </row>
    <row r="167" spans="2:11" collapsed="1" x14ac:dyDescent="0.3"/>
  </sheetData>
  <conditionalFormatting sqref="B100 B125:E130">
    <cfRule type="expression" dxfId="29" priority="21">
      <formula>MOD(ROW(B100),2)</formula>
    </cfRule>
  </conditionalFormatting>
  <conditionalFormatting sqref="C100">
    <cfRule type="expression" dxfId="28" priority="22">
      <formula>MOD(ROW(C100),2)</formula>
    </cfRule>
  </conditionalFormatting>
  <conditionalFormatting sqref="D100">
    <cfRule type="expression" dxfId="27" priority="20">
      <formula>MOD(ROW(D100),2)</formula>
    </cfRule>
  </conditionalFormatting>
  <conditionalFormatting sqref="E100">
    <cfRule type="expression" dxfId="26" priority="19">
      <formula>MOD(ROW(E100),2)</formula>
    </cfRule>
  </conditionalFormatting>
  <conditionalFormatting sqref="B100">
    <cfRule type="expression" dxfId="25" priority="18">
      <formula>MOD(ROW(B100),2)</formula>
    </cfRule>
  </conditionalFormatting>
  <conditionalFormatting sqref="E99">
    <cfRule type="expression" dxfId="24" priority="16">
      <formula>MOD(ROW(E99),2)</formula>
    </cfRule>
  </conditionalFormatting>
  <conditionalFormatting sqref="E124">
    <cfRule type="expression" dxfId="23" priority="9">
      <formula>MOD(ROW(E124),2)</formula>
    </cfRule>
  </conditionalFormatting>
  <conditionalFormatting sqref="D99">
    <cfRule type="expression" dxfId="22" priority="8">
      <formula>MOD(ROW(D99),2)</formula>
    </cfRule>
  </conditionalFormatting>
  <conditionalFormatting sqref="D124">
    <cfRule type="expression" dxfId="21" priority="7">
      <formula>MOD(ROW(D124),2)</formula>
    </cfRule>
  </conditionalFormatting>
  <conditionalFormatting sqref="B147:E147">
    <cfRule type="expression" dxfId="20" priority="6">
      <formula>MOD(ROW(B147),2)</formula>
    </cfRule>
  </conditionalFormatting>
  <conditionalFormatting sqref="F146">
    <cfRule type="expression" dxfId="19" priority="5">
      <formula>MOD(ROW(F146),2)</formula>
    </cfRule>
  </conditionalFormatting>
  <conditionalFormatting sqref="B148:E150">
    <cfRule type="expression" dxfId="18" priority="4">
      <formula>MOD(ROW(B148),2)</formula>
    </cfRule>
  </conditionalFormatting>
  <conditionalFormatting sqref="E146">
    <cfRule type="expression" dxfId="17" priority="3">
      <formula>MOD(ROW(E146),2)</formula>
    </cfRule>
  </conditionalFormatting>
  <conditionalFormatting sqref="F147">
    <cfRule type="expression" dxfId="16" priority="2">
      <formula>MOD(ROW(F147),2)</formula>
    </cfRule>
  </conditionalFormatting>
  <conditionalFormatting sqref="F148:F150">
    <cfRule type="expression" dxfId="15" priority="1">
      <formula>MOD(ROW(F148),2)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1A">
                <anchor moveWithCells="1" sizeWithCells="1">
                  <from>
                    <xdr:col>5</xdr:col>
                    <xdr:colOff>863600</xdr:colOff>
                    <xdr:row>7</xdr:row>
                    <xdr:rowOff>139700</xdr:rowOff>
                  </from>
                  <to>
                    <xdr:col>8</xdr:col>
                    <xdr:colOff>139700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1B">
                <anchor moveWithCells="1" sizeWithCells="1">
                  <from>
                    <xdr:col>5</xdr:col>
                    <xdr:colOff>889000</xdr:colOff>
                    <xdr:row>25</xdr:row>
                    <xdr:rowOff>38100</xdr:rowOff>
                  </from>
                  <to>
                    <xdr:col>8</xdr:col>
                    <xdr:colOff>152400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2A">
                <anchor moveWithCells="1" sizeWithCells="1">
                  <from>
                    <xdr:col>5</xdr:col>
                    <xdr:colOff>863600</xdr:colOff>
                    <xdr:row>45</xdr:row>
                    <xdr:rowOff>38100</xdr:rowOff>
                  </from>
                  <to>
                    <xdr:col>8</xdr:col>
                    <xdr:colOff>139700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2B">
                <anchor moveWithCells="1" sizeWithCells="1">
                  <from>
                    <xdr:col>5</xdr:col>
                    <xdr:colOff>965200</xdr:colOff>
                    <xdr:row>69</xdr:row>
                    <xdr:rowOff>215900</xdr:rowOff>
                  </from>
                  <to>
                    <xdr:col>8</xdr:col>
                    <xdr:colOff>215900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3A">
                <anchor moveWithCells="1" sizeWithCells="1">
                  <from>
                    <xdr:col>5</xdr:col>
                    <xdr:colOff>977900</xdr:colOff>
                    <xdr:row>94</xdr:row>
                    <xdr:rowOff>139700</xdr:rowOff>
                  </from>
                  <to>
                    <xdr:col>8</xdr:col>
                    <xdr:colOff>241300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3B">
                <anchor moveWithCells="1" sizeWithCells="1">
                  <from>
                    <xdr:col>5</xdr:col>
                    <xdr:colOff>1054100</xdr:colOff>
                    <xdr:row>121</xdr:row>
                    <xdr:rowOff>63500</xdr:rowOff>
                  </from>
                  <to>
                    <xdr:col>8</xdr:col>
                    <xdr:colOff>330200</xdr:colOff>
                    <xdr:row>124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hisWorkbook.Send_To_4A">
                <anchor moveWithCells="1" sizeWithCells="1">
                  <from>
                    <xdr:col>6</xdr:col>
                    <xdr:colOff>254000</xdr:colOff>
                    <xdr:row>142</xdr:row>
                    <xdr:rowOff>63500</xdr:rowOff>
                  </from>
                  <to>
                    <xdr:col>9</xdr:col>
                    <xdr:colOff>381000</xdr:colOff>
                    <xdr:row>145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ThisWorkbook.Send_To_4B">
                <anchor moveWithCells="1" sizeWithCells="1">
                  <from>
                    <xdr:col>6</xdr:col>
                    <xdr:colOff>203200</xdr:colOff>
                    <xdr:row>159</xdr:row>
                    <xdr:rowOff>101600</xdr:rowOff>
                  </from>
                  <to>
                    <xdr:col>9</xdr:col>
                    <xdr:colOff>330200</xdr:colOff>
                    <xdr:row>162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-0.249977111117893"/>
  </sheetPr>
  <dimension ref="A1:S166"/>
  <sheetViews>
    <sheetView showGridLines="0" topLeftCell="A122" zoomScale="75" workbookViewId="0">
      <selection activeCell="E10" sqref="E10"/>
    </sheetView>
  </sheetViews>
  <sheetFormatPr defaultColWidth="9.44140625" defaultRowHeight="13" outlineLevelRow="1" x14ac:dyDescent="0.3"/>
  <cols>
    <col min="1" max="1" width="9.44140625" style="2"/>
    <col min="2" max="2" width="91.21875" style="2" bestFit="1" customWidth="1"/>
    <col min="3" max="3" width="15.5546875" style="2" bestFit="1" customWidth="1"/>
    <col min="4" max="4" width="27.77734375" style="2" customWidth="1"/>
    <col min="5" max="5" width="33.44140625" style="2" bestFit="1" customWidth="1"/>
    <col min="6" max="6" width="24.44140625" style="2" customWidth="1"/>
    <col min="7" max="15" width="9.44140625" style="2"/>
    <col min="16" max="16" width="39.77734375" customWidth="1"/>
    <col min="17" max="17" width="3.77734375" customWidth="1"/>
    <col min="18" max="18" width="70.21875" customWidth="1"/>
    <col min="20" max="16384" width="9.44140625" style="2"/>
  </cols>
  <sheetData>
    <row r="1" spans="1:5" x14ac:dyDescent="0.3">
      <c r="A1" s="3" t="str">
        <f>'Cover Page'!A1</f>
        <v xml:space="preserve">Problem Solving With Excel </v>
      </c>
    </row>
    <row r="2" spans="1:5" x14ac:dyDescent="0.3">
      <c r="A2" s="3" t="str">
        <f>'Cover Page'!A2</f>
        <v>Week 4</v>
      </c>
    </row>
    <row r="3" spans="1:5" x14ac:dyDescent="0.3">
      <c r="A3" s="3" t="str">
        <f>'Cover Page'!A3</f>
        <v>Index Match</v>
      </c>
    </row>
    <row r="4" spans="1:5" x14ac:dyDescent="0.3">
      <c r="A4" s="3" t="s">
        <v>1</v>
      </c>
    </row>
    <row r="7" spans="1:5" ht="18.5" x14ac:dyDescent="0.45">
      <c r="B7" s="4" t="s">
        <v>79</v>
      </c>
    </row>
    <row r="8" spans="1:5" outlineLevel="1" x14ac:dyDescent="0.3"/>
    <row r="9" spans="1:5" outlineLevel="1" x14ac:dyDescent="0.3">
      <c r="B9" s="7" t="s">
        <v>27</v>
      </c>
      <c r="C9" s="8"/>
      <c r="D9" s="9"/>
      <c r="E9" s="10"/>
    </row>
    <row r="10" spans="1:5" outlineLevel="1" x14ac:dyDescent="0.3">
      <c r="B10" s="11" t="s">
        <v>71</v>
      </c>
      <c r="C10" s="11"/>
      <c r="D10" s="12">
        <v>3</v>
      </c>
      <c r="E10" s="13" t="str">
        <f>INDEX(Country,3)</f>
        <v>Tanzania, United Republic of</v>
      </c>
    </row>
    <row r="11" spans="1:5" outlineLevel="1" x14ac:dyDescent="0.3"/>
    <row r="12" spans="1:5" outlineLevel="1" x14ac:dyDescent="0.3"/>
    <row r="13" spans="1:5" outlineLevel="1" x14ac:dyDescent="0.3"/>
    <row r="14" spans="1:5" outlineLevel="1" x14ac:dyDescent="0.3"/>
    <row r="15" spans="1:5" outlineLevel="1" x14ac:dyDescent="0.3"/>
    <row r="16" spans="1:5" outlineLevel="1" x14ac:dyDescent="0.3"/>
    <row r="17" spans="2:5" outlineLevel="1" x14ac:dyDescent="0.3"/>
    <row r="18" spans="2:5" outlineLevel="1" x14ac:dyDescent="0.3"/>
    <row r="19" spans="2:5" outlineLevel="1" x14ac:dyDescent="0.3"/>
    <row r="20" spans="2:5" outlineLevel="1" x14ac:dyDescent="0.3"/>
    <row r="21" spans="2:5" outlineLevel="1" x14ac:dyDescent="0.3"/>
    <row r="22" spans="2:5" outlineLevel="1" x14ac:dyDescent="0.3"/>
    <row r="23" spans="2:5" outlineLevel="1" x14ac:dyDescent="0.3"/>
    <row r="24" spans="2:5" ht="18.5" x14ac:dyDescent="0.45">
      <c r="B24" s="4" t="s">
        <v>78</v>
      </c>
    </row>
    <row r="25" spans="2:5" outlineLevel="1" x14ac:dyDescent="0.3"/>
    <row r="26" spans="2:5" outlineLevel="1" x14ac:dyDescent="0.3">
      <c r="B26" s="7" t="s">
        <v>28</v>
      </c>
      <c r="C26" s="8"/>
      <c r="D26" s="9"/>
      <c r="E26" s="10"/>
    </row>
    <row r="27" spans="2:5" outlineLevel="1" x14ac:dyDescent="0.3">
      <c r="B27" s="11" t="s">
        <v>72</v>
      </c>
      <c r="C27" s="11"/>
      <c r="D27" s="12">
        <v>5</v>
      </c>
      <c r="E27" s="13">
        <f>INDEX(Revenue,D27)</f>
        <v>678.30000000000007</v>
      </c>
    </row>
    <row r="28" spans="2:5" outlineLevel="1" x14ac:dyDescent="0.3"/>
    <row r="29" spans="2:5" outlineLevel="1" x14ac:dyDescent="0.3"/>
    <row r="30" spans="2:5" outlineLevel="1" x14ac:dyDescent="0.3"/>
    <row r="31" spans="2:5" outlineLevel="1" x14ac:dyDescent="0.3"/>
    <row r="32" spans="2:5" outlineLevel="1" x14ac:dyDescent="0.3"/>
    <row r="33" spans="2:5" outlineLevel="1" x14ac:dyDescent="0.3"/>
    <row r="34" spans="2:5" outlineLevel="1" x14ac:dyDescent="0.3"/>
    <row r="35" spans="2:5" outlineLevel="1" x14ac:dyDescent="0.3"/>
    <row r="36" spans="2:5" outlineLevel="1" x14ac:dyDescent="0.3"/>
    <row r="37" spans="2:5" outlineLevel="1" x14ac:dyDescent="0.3"/>
    <row r="38" spans="2:5" outlineLevel="1" x14ac:dyDescent="0.3"/>
    <row r="39" spans="2:5" outlineLevel="1" x14ac:dyDescent="0.3"/>
    <row r="40" spans="2:5" outlineLevel="1" x14ac:dyDescent="0.3"/>
    <row r="41" spans="2:5" outlineLevel="1" x14ac:dyDescent="0.3"/>
    <row r="42" spans="2:5" outlineLevel="1" x14ac:dyDescent="0.3"/>
    <row r="43" spans="2:5" outlineLevel="1" x14ac:dyDescent="0.3"/>
    <row r="44" spans="2:5" outlineLevel="1" x14ac:dyDescent="0.3"/>
    <row r="45" spans="2:5" ht="18.5" x14ac:dyDescent="0.45">
      <c r="B45" s="4" t="s">
        <v>80</v>
      </c>
    </row>
    <row r="46" spans="2:5" outlineLevel="1" x14ac:dyDescent="0.3"/>
    <row r="47" spans="2:5" outlineLevel="1" x14ac:dyDescent="0.3">
      <c r="B47" s="7" t="s">
        <v>29</v>
      </c>
      <c r="C47" s="8"/>
      <c r="D47" s="9"/>
      <c r="E47" s="10"/>
    </row>
    <row r="48" spans="2:5" outlineLevel="1" x14ac:dyDescent="0.3">
      <c r="B48" s="11" t="s">
        <v>73</v>
      </c>
      <c r="C48" s="11"/>
      <c r="D48" s="12" t="s">
        <v>11</v>
      </c>
      <c r="E48" s="50">
        <f>MATCH(D48,Country,0)</f>
        <v>8</v>
      </c>
    </row>
    <row r="49" outlineLevel="1" x14ac:dyDescent="0.3"/>
    <row r="50" outlineLevel="1" x14ac:dyDescent="0.3"/>
    <row r="51" outlineLevel="1" x14ac:dyDescent="0.3"/>
    <row r="52" outlineLevel="1" x14ac:dyDescent="0.3"/>
    <row r="53" outlineLevel="1" x14ac:dyDescent="0.3"/>
    <row r="54" outlineLevel="1" x14ac:dyDescent="0.3"/>
    <row r="55" outlineLevel="1" x14ac:dyDescent="0.3"/>
    <row r="56" outlineLevel="1" x14ac:dyDescent="0.3"/>
    <row r="57" outlineLevel="1" x14ac:dyDescent="0.3"/>
    <row r="58" outlineLevel="1" x14ac:dyDescent="0.3"/>
    <row r="59" outlineLevel="1" x14ac:dyDescent="0.3"/>
    <row r="60" outlineLevel="1" x14ac:dyDescent="0.3"/>
    <row r="61" outlineLevel="1" x14ac:dyDescent="0.3"/>
    <row r="62" outlineLevel="1" x14ac:dyDescent="0.3"/>
    <row r="63" outlineLevel="1" x14ac:dyDescent="0.3"/>
    <row r="64" outlineLevel="1" x14ac:dyDescent="0.3"/>
    <row r="65" spans="2:5" outlineLevel="1" x14ac:dyDescent="0.3"/>
    <row r="66" spans="2:5" outlineLevel="1" x14ac:dyDescent="0.3"/>
    <row r="67" spans="2:5" outlineLevel="1" x14ac:dyDescent="0.3"/>
    <row r="68" spans="2:5" outlineLevel="1" x14ac:dyDescent="0.3"/>
    <row r="69" spans="2:5" outlineLevel="1" x14ac:dyDescent="0.3"/>
    <row r="70" spans="2:5" ht="18.5" x14ac:dyDescent="0.45">
      <c r="B70" s="4" t="s">
        <v>81</v>
      </c>
    </row>
    <row r="71" spans="2:5" outlineLevel="1" x14ac:dyDescent="0.3"/>
    <row r="72" spans="2:5" outlineLevel="1" x14ac:dyDescent="0.3">
      <c r="B72" s="7" t="s">
        <v>29</v>
      </c>
      <c r="C72" s="8"/>
      <c r="D72" s="9"/>
      <c r="E72" s="10"/>
    </row>
    <row r="73" spans="2:5" outlineLevel="1" x14ac:dyDescent="0.3">
      <c r="B73" s="14" t="s">
        <v>74</v>
      </c>
      <c r="C73" s="17"/>
      <c r="D73" s="15" t="s">
        <v>98</v>
      </c>
      <c r="E73" s="53">
        <f>MATCH(D73,'Data Set'!C9:F9,0)</f>
        <v>2</v>
      </c>
    </row>
    <row r="74" spans="2:5" outlineLevel="1" x14ac:dyDescent="0.3"/>
    <row r="75" spans="2:5" outlineLevel="1" x14ac:dyDescent="0.3"/>
    <row r="76" spans="2:5" outlineLevel="1" x14ac:dyDescent="0.3"/>
    <row r="77" spans="2:5" outlineLevel="1" x14ac:dyDescent="0.3"/>
    <row r="78" spans="2:5" outlineLevel="1" x14ac:dyDescent="0.3"/>
    <row r="79" spans="2:5" outlineLevel="1" x14ac:dyDescent="0.3"/>
    <row r="80" spans="2:5" outlineLevel="1" x14ac:dyDescent="0.3"/>
    <row r="81" spans="2:6" outlineLevel="1" x14ac:dyDescent="0.3"/>
    <row r="82" spans="2:6" outlineLevel="1" x14ac:dyDescent="0.3"/>
    <row r="83" spans="2:6" outlineLevel="1" x14ac:dyDescent="0.3"/>
    <row r="84" spans="2:6" outlineLevel="1" x14ac:dyDescent="0.3"/>
    <row r="85" spans="2:6" outlineLevel="1" x14ac:dyDescent="0.3"/>
    <row r="86" spans="2:6" outlineLevel="1" x14ac:dyDescent="0.3"/>
    <row r="87" spans="2:6" outlineLevel="1" x14ac:dyDescent="0.3"/>
    <row r="88" spans="2:6" outlineLevel="1" x14ac:dyDescent="0.3"/>
    <row r="89" spans="2:6" outlineLevel="1" x14ac:dyDescent="0.3"/>
    <row r="90" spans="2:6" outlineLevel="1" x14ac:dyDescent="0.3"/>
    <row r="91" spans="2:6" outlineLevel="1" x14ac:dyDescent="0.3"/>
    <row r="92" spans="2:6" outlineLevel="1" x14ac:dyDescent="0.3"/>
    <row r="93" spans="2:6" ht="18.5" x14ac:dyDescent="0.45">
      <c r="B93" s="4" t="s">
        <v>82</v>
      </c>
    </row>
    <row r="94" spans="2:6" outlineLevel="1" x14ac:dyDescent="0.3"/>
    <row r="95" spans="2:6" outlineLevel="1" x14ac:dyDescent="0.3">
      <c r="B95"/>
      <c r="C95"/>
      <c r="D95"/>
      <c r="E95"/>
      <c r="F95"/>
    </row>
    <row r="96" spans="2:6" outlineLevel="1" x14ac:dyDescent="0.3">
      <c r="B96" s="18" t="s">
        <v>30</v>
      </c>
      <c r="C96" s="18"/>
      <c r="D96" s="18"/>
      <c r="E96" s="19"/>
    </row>
    <row r="97" spans="2:5" outlineLevel="1" x14ac:dyDescent="0.3">
      <c r="B97" s="20" t="s">
        <v>31</v>
      </c>
      <c r="C97" s="21"/>
      <c r="D97" s="20"/>
      <c r="E97" s="20"/>
    </row>
    <row r="98" spans="2:5" outlineLevel="1" x14ac:dyDescent="0.3">
      <c r="B98" s="22" t="s">
        <v>4</v>
      </c>
      <c r="C98" s="23" t="s">
        <v>32</v>
      </c>
      <c r="D98" s="23" t="s">
        <v>3</v>
      </c>
      <c r="E98" s="23" t="s">
        <v>3</v>
      </c>
    </row>
    <row r="99" spans="2:5" outlineLevel="1" x14ac:dyDescent="0.3">
      <c r="B99" s="20"/>
      <c r="C99" s="24"/>
      <c r="D99" s="25" t="s">
        <v>69</v>
      </c>
      <c r="E99" s="25" t="s">
        <v>33</v>
      </c>
    </row>
    <row r="100" spans="2:5" outlineLevel="1" x14ac:dyDescent="0.3">
      <c r="B100" s="26" t="s">
        <v>16</v>
      </c>
      <c r="C100" s="27">
        <f>MATCH(B100,Country,0)</f>
        <v>14</v>
      </c>
      <c r="D100" s="28">
        <f>INDEX(Revenue,C100)</f>
        <v>1269</v>
      </c>
      <c r="E100" s="28">
        <f>INDEX(Revenue,MATCH(B100,Country,0))</f>
        <v>1269</v>
      </c>
    </row>
    <row r="101" spans="2:5" outlineLevel="1" x14ac:dyDescent="0.3"/>
    <row r="102" spans="2:5" outlineLevel="1" x14ac:dyDescent="0.3"/>
    <row r="103" spans="2:5" outlineLevel="1" x14ac:dyDescent="0.3"/>
    <row r="104" spans="2:5" outlineLevel="1" x14ac:dyDescent="0.3"/>
    <row r="105" spans="2:5" outlineLevel="1" x14ac:dyDescent="0.3"/>
    <row r="106" spans="2:5" outlineLevel="1" x14ac:dyDescent="0.3"/>
    <row r="107" spans="2:5" outlineLevel="1" x14ac:dyDescent="0.3"/>
    <row r="108" spans="2:5" outlineLevel="1" x14ac:dyDescent="0.3"/>
    <row r="109" spans="2:5" outlineLevel="1" x14ac:dyDescent="0.3"/>
    <row r="110" spans="2:5" outlineLevel="1" x14ac:dyDescent="0.3"/>
    <row r="111" spans="2:5" outlineLevel="1" x14ac:dyDescent="0.3"/>
    <row r="112" spans="2:5" outlineLevel="1" x14ac:dyDescent="0.3"/>
    <row r="113" spans="2:5" outlineLevel="1" x14ac:dyDescent="0.3"/>
    <row r="114" spans="2:5" outlineLevel="1" x14ac:dyDescent="0.3"/>
    <row r="115" spans="2:5" outlineLevel="1" x14ac:dyDescent="0.3"/>
    <row r="116" spans="2:5" outlineLevel="1" x14ac:dyDescent="0.3"/>
    <row r="117" spans="2:5" outlineLevel="1" x14ac:dyDescent="0.3"/>
    <row r="118" spans="2:5" outlineLevel="1" x14ac:dyDescent="0.3"/>
    <row r="119" spans="2:5" ht="18.5" x14ac:dyDescent="0.45">
      <c r="B119" s="4" t="s">
        <v>83</v>
      </c>
    </row>
    <row r="120" spans="2:5" outlineLevel="1" x14ac:dyDescent="0.3"/>
    <row r="121" spans="2:5" outlineLevel="1" x14ac:dyDescent="0.3">
      <c r="B121" s="29" t="s">
        <v>30</v>
      </c>
      <c r="C121" s="30"/>
      <c r="D121" s="31"/>
      <c r="E121" s="32"/>
    </row>
    <row r="122" spans="2:5" outlineLevel="1" x14ac:dyDescent="0.3">
      <c r="B122" s="33" t="s">
        <v>100</v>
      </c>
      <c r="C122" s="34"/>
      <c r="D122" s="35"/>
      <c r="E122" s="16"/>
    </row>
    <row r="123" spans="2:5" outlineLevel="1" x14ac:dyDescent="0.3">
      <c r="B123" s="22" t="s">
        <v>4</v>
      </c>
      <c r="C123" s="23" t="s">
        <v>32</v>
      </c>
      <c r="D123" s="23" t="s">
        <v>98</v>
      </c>
      <c r="E123" s="23" t="s">
        <v>98</v>
      </c>
    </row>
    <row r="124" spans="2:5" outlineLevel="1" x14ac:dyDescent="0.3">
      <c r="B124" s="20"/>
      <c r="C124" s="24"/>
      <c r="D124" s="25" t="s">
        <v>69</v>
      </c>
      <c r="E124" s="25" t="s">
        <v>33</v>
      </c>
    </row>
    <row r="125" spans="2:5" outlineLevel="1" x14ac:dyDescent="0.3">
      <c r="B125" s="26" t="s">
        <v>8</v>
      </c>
      <c r="C125" s="27">
        <f t="shared" ref="C125:C130" si="0">MATCH(B125,Country,0)</f>
        <v>5</v>
      </c>
      <c r="D125" s="28">
        <f t="shared" ref="D125:D130" si="1">INDEX(EBITDA,C125)</f>
        <v>128.87700000000001</v>
      </c>
      <c r="E125" s="28">
        <f t="shared" ref="E125:E130" si="2">INDEX(EBITDA,MATCH(B125,Country,0))</f>
        <v>128.87700000000001</v>
      </c>
    </row>
    <row r="126" spans="2:5" outlineLevel="1" x14ac:dyDescent="0.3">
      <c r="B126" s="26" t="s">
        <v>24</v>
      </c>
      <c r="C126" s="27">
        <f t="shared" si="0"/>
        <v>22</v>
      </c>
      <c r="D126" s="28">
        <f t="shared" si="1"/>
        <v>103.27500000000001</v>
      </c>
      <c r="E126" s="28">
        <f t="shared" si="2"/>
        <v>103.27500000000001</v>
      </c>
    </row>
    <row r="127" spans="2:5" outlineLevel="1" x14ac:dyDescent="0.3">
      <c r="B127" s="26" t="s">
        <v>22</v>
      </c>
      <c r="C127" s="27">
        <f t="shared" si="0"/>
        <v>20</v>
      </c>
      <c r="D127" s="28">
        <f t="shared" si="1"/>
        <v>-60</v>
      </c>
      <c r="E127" s="28">
        <f t="shared" si="2"/>
        <v>-60</v>
      </c>
    </row>
    <row r="128" spans="2:5" outlineLevel="1" x14ac:dyDescent="0.3">
      <c r="B128" s="26" t="s">
        <v>26</v>
      </c>
      <c r="C128" s="27">
        <f t="shared" si="0"/>
        <v>24</v>
      </c>
      <c r="D128" s="28">
        <f t="shared" si="1"/>
        <v>49.68</v>
      </c>
      <c r="E128" s="28">
        <f t="shared" si="2"/>
        <v>49.68</v>
      </c>
    </row>
    <row r="129" spans="1:6" outlineLevel="1" x14ac:dyDescent="0.3">
      <c r="B129" s="26" t="s">
        <v>17</v>
      </c>
      <c r="C129" s="27">
        <f t="shared" si="0"/>
        <v>15</v>
      </c>
      <c r="D129" s="28">
        <f t="shared" si="1"/>
        <v>8.4499999999999993</v>
      </c>
      <c r="E129" s="28">
        <f t="shared" si="2"/>
        <v>8.4499999999999993</v>
      </c>
    </row>
    <row r="130" spans="1:6" outlineLevel="1" x14ac:dyDescent="0.3">
      <c r="B130" s="26" t="s">
        <v>11</v>
      </c>
      <c r="C130" s="27">
        <f t="shared" si="0"/>
        <v>8</v>
      </c>
      <c r="D130" s="28">
        <f t="shared" si="1"/>
        <v>3.48</v>
      </c>
      <c r="E130" s="28">
        <f t="shared" si="2"/>
        <v>3.48</v>
      </c>
    </row>
    <row r="131" spans="1:6" outlineLevel="1" x14ac:dyDescent="0.3"/>
    <row r="132" spans="1:6" outlineLevel="1" x14ac:dyDescent="0.3"/>
    <row r="133" spans="1:6" outlineLevel="1" x14ac:dyDescent="0.3"/>
    <row r="134" spans="1:6" outlineLevel="1" x14ac:dyDescent="0.3"/>
    <row r="135" spans="1:6" outlineLevel="1" x14ac:dyDescent="0.3"/>
    <row r="136" spans="1:6" outlineLevel="1" x14ac:dyDescent="0.3"/>
    <row r="137" spans="1:6" outlineLevel="1" x14ac:dyDescent="0.3"/>
    <row r="138" spans="1:6" outlineLevel="1" x14ac:dyDescent="0.3"/>
    <row r="139" spans="1:6" outlineLevel="1" x14ac:dyDescent="0.3"/>
    <row r="140" spans="1:6" outlineLevel="1" x14ac:dyDescent="0.3"/>
    <row r="141" spans="1:6" ht="18.5" x14ac:dyDescent="0.45">
      <c r="B141" s="4" t="s">
        <v>84</v>
      </c>
    </row>
    <row r="142" spans="1:6" outlineLevel="1" x14ac:dyDescent="0.3"/>
    <row r="143" spans="1:6" customFormat="1" outlineLevel="1" x14ac:dyDescent="0.3">
      <c r="A143" s="2"/>
      <c r="B143" s="29" t="s">
        <v>30</v>
      </c>
      <c r="C143" s="30"/>
      <c r="D143" s="30"/>
      <c r="E143" s="31"/>
      <c r="F143" s="32"/>
    </row>
    <row r="144" spans="1:6" customFormat="1" outlineLevel="1" x14ac:dyDescent="0.3">
      <c r="A144" s="2"/>
      <c r="B144" s="33" t="s">
        <v>36</v>
      </c>
      <c r="C144" s="34" t="s">
        <v>75</v>
      </c>
      <c r="D144" s="34"/>
      <c r="E144" s="35"/>
    </row>
    <row r="145" spans="2:10" outlineLevel="1" x14ac:dyDescent="0.3">
      <c r="B145" s="22" t="s">
        <v>4</v>
      </c>
      <c r="C145" s="23" t="s">
        <v>32</v>
      </c>
      <c r="D145" s="23" t="s">
        <v>32</v>
      </c>
      <c r="E145" s="23" t="s">
        <v>28</v>
      </c>
      <c r="F145" s="23"/>
    </row>
    <row r="146" spans="2:10" outlineLevel="1" x14ac:dyDescent="0.3">
      <c r="B146" s="20"/>
      <c r="C146" s="33" t="s">
        <v>36</v>
      </c>
      <c r="D146" s="24" t="s">
        <v>76</v>
      </c>
      <c r="E146" s="25" t="s">
        <v>77</v>
      </c>
      <c r="F146" s="25" t="s">
        <v>70</v>
      </c>
    </row>
    <row r="147" spans="2:10" outlineLevel="1" x14ac:dyDescent="0.3">
      <c r="B147" s="26" t="s">
        <v>45</v>
      </c>
      <c r="C147" s="27">
        <f>MATCH($B$144,Name,0)</f>
        <v>4</v>
      </c>
      <c r="D147" s="27">
        <f>MATCH($B147,Personal_Info,0)</f>
        <v>7</v>
      </c>
      <c r="E147" s="28" t="str">
        <f>INDEX('Data Set'!$B$38:$I$44,'Section 1 - ANS'!D147,'Section 1 - ANS'!C147)</f>
        <v>Brown</v>
      </c>
      <c r="F147" s="28" t="str">
        <f>INDEX('Data Set'!$B$38:$I$44,MATCH('Section 1 - ANS'!B147,Personal_Info,0),MATCH('Section 1 - ANS'!$B$144,Name,0))</f>
        <v>Brown</v>
      </c>
    </row>
    <row r="148" spans="2:10" outlineLevel="1" x14ac:dyDescent="0.3">
      <c r="B148" s="26" t="s">
        <v>43</v>
      </c>
      <c r="C148" s="27">
        <f>MATCH($B$144,Name,0)</f>
        <v>4</v>
      </c>
      <c r="D148" s="27">
        <f>MATCH($B148,Personal_Info,0)</f>
        <v>4</v>
      </c>
      <c r="E148" s="28" t="str">
        <f>INDEX('Data Set'!$B$38:$I$44,'Section 1 - ANS'!D148,'Section 1 - ANS'!C148)</f>
        <v>M</v>
      </c>
      <c r="F148" s="28" t="str">
        <f>INDEX('Data Set'!$B$38:$I$44,MATCH('Section 1 - ANS'!B148,Personal_Info,0),MATCH('Section 1 - ANS'!$B$144,Name,0))</f>
        <v>M</v>
      </c>
      <c r="G148"/>
    </row>
    <row r="149" spans="2:10" outlineLevel="1" x14ac:dyDescent="0.3">
      <c r="B149" s="26" t="s">
        <v>41</v>
      </c>
      <c r="C149" s="27">
        <f>MATCH($B$144,Name,0)</f>
        <v>4</v>
      </c>
      <c r="D149" s="27">
        <f>MATCH($B149,Personal_Info,0)</f>
        <v>2</v>
      </c>
      <c r="E149" s="28" t="str">
        <f>INDEX('Data Set'!$B$38:$I$44,'Section 1 - ANS'!D149,'Section 1 - ANS'!C149)</f>
        <v>6-1</v>
      </c>
      <c r="F149" s="28" t="str">
        <f>INDEX('Data Set'!$B$38:$I$44,MATCH('Section 1 - ANS'!B149,Personal_Info,0),MATCH('Section 1 - ANS'!$B$144,Name,0))</f>
        <v>6-1</v>
      </c>
      <c r="G149"/>
    </row>
    <row r="150" spans="2:10" outlineLevel="1" x14ac:dyDescent="0.3">
      <c r="B150" s="26" t="s">
        <v>42</v>
      </c>
      <c r="C150" s="27">
        <f>MATCH($B$144,Name,0)</f>
        <v>4</v>
      </c>
      <c r="D150" s="27">
        <f>MATCH($B150,Personal_Info,0)</f>
        <v>3</v>
      </c>
      <c r="E150" s="49">
        <f>INDEX('Data Set'!$B$38:$I$44,'Section 1 - ANS'!D150,'Section 1 - ANS'!C150)</f>
        <v>194</v>
      </c>
      <c r="F150" s="49">
        <f>INDEX('Data Set'!$B$38:$I$44,MATCH('Section 1 - ANS'!B150,Personal_Info,0),MATCH('Section 1 - ANS'!$B$144,Name,0))</f>
        <v>194</v>
      </c>
      <c r="G150"/>
    </row>
    <row r="151" spans="2:10" outlineLevel="1" x14ac:dyDescent="0.3">
      <c r="B151"/>
      <c r="C151"/>
      <c r="D151"/>
      <c r="E151"/>
      <c r="F151"/>
      <c r="G151"/>
    </row>
    <row r="152" spans="2:10" outlineLevel="1" x14ac:dyDescent="0.3">
      <c r="B152"/>
      <c r="C152"/>
      <c r="D152"/>
      <c r="E152"/>
      <c r="F152"/>
      <c r="G152"/>
    </row>
    <row r="153" spans="2:10" outlineLevel="1" x14ac:dyDescent="0.3">
      <c r="B153"/>
      <c r="C153"/>
      <c r="D153"/>
      <c r="E153"/>
      <c r="F153"/>
      <c r="G153"/>
    </row>
    <row r="154" spans="2:10" outlineLevel="1" x14ac:dyDescent="0.3"/>
    <row r="155" spans="2:10" outlineLevel="1" x14ac:dyDescent="0.3"/>
    <row r="156" spans="2:10" outlineLevel="1" x14ac:dyDescent="0.3"/>
    <row r="157" spans="2:10" outlineLevel="1" x14ac:dyDescent="0.3"/>
    <row r="158" spans="2:10" ht="18.5" x14ac:dyDescent="0.45">
      <c r="B158" s="4" t="s">
        <v>85</v>
      </c>
    </row>
    <row r="159" spans="2:10" outlineLevel="1" x14ac:dyDescent="0.3"/>
    <row r="160" spans="2:10" ht="13.5" outlineLevel="1" thickBot="1" x14ac:dyDescent="0.35">
      <c r="B160" s="5" t="s">
        <v>68</v>
      </c>
      <c r="C160" s="5" t="s">
        <v>37</v>
      </c>
      <c r="D160" s="5" t="s">
        <v>39</v>
      </c>
      <c r="E160" s="5" t="s">
        <v>40</v>
      </c>
      <c r="G160"/>
      <c r="H160"/>
      <c r="I160"/>
      <c r="J160"/>
    </row>
    <row r="161" spans="2:10" outlineLevel="1" x14ac:dyDescent="0.3">
      <c r="B161" s="36" t="s">
        <v>54</v>
      </c>
      <c r="C161" s="44" t="str">
        <f>INDEX('Data Set'!$B$38:$I$44,MATCH($B161,Personal_Info,0),MATCH(C$160,Name,0))</f>
        <v>DC</v>
      </c>
      <c r="D161" s="45" t="str">
        <f>INDEX('Data Set'!$B$38:$I$44,MATCH($B161,Personal_Info,0),MATCH(D$160,Name,0))</f>
        <v>Boise</v>
      </c>
      <c r="E161" s="45" t="str">
        <f>INDEX('Data Set'!$B$38:$I$44,MATCH($B161,Personal_Info,0),MATCH(E$160,Name,0))</f>
        <v>Atlanta</v>
      </c>
      <c r="G161" s="46"/>
      <c r="H161"/>
      <c r="I161"/>
      <c r="J161"/>
    </row>
    <row r="162" spans="2:10" outlineLevel="1" x14ac:dyDescent="0.3">
      <c r="B162" s="37" t="s">
        <v>43</v>
      </c>
      <c r="C162" s="47" t="str">
        <f>INDEX('Data Set'!$B$38:$I$44,MATCH($B162,Personal_Info,0),MATCH(C$160,Name,0))</f>
        <v>F</v>
      </c>
      <c r="D162" s="47" t="str">
        <f>INDEX('Data Set'!$B$38:$I$44,MATCH($B162,Personal_Info,0),MATCH(D$160,Name,0))</f>
        <v>F</v>
      </c>
      <c r="E162" s="47" t="str">
        <f>INDEX('Data Set'!$B$38:$I$44,MATCH($B162,Personal_Info,0),MATCH(E$160,Name,0))</f>
        <v>M</v>
      </c>
      <c r="G162" s="46"/>
      <c r="H162"/>
      <c r="I162"/>
      <c r="J162"/>
    </row>
    <row r="163" spans="2:10" outlineLevel="1" x14ac:dyDescent="0.3">
      <c r="B163" s="37" t="s">
        <v>41</v>
      </c>
      <c r="C163" s="47" t="str">
        <f>INDEX('Data Set'!$B$38:$I$44,MATCH($B163,Personal_Info,0),MATCH(C$160,Name,0))</f>
        <v>5-11</v>
      </c>
      <c r="D163" s="47" t="str">
        <f>INDEX('Data Set'!$B$38:$I$44,MATCH($B163,Personal_Info,0),MATCH(D$160,Name,0))</f>
        <v>5-9</v>
      </c>
      <c r="E163" s="47" t="str">
        <f>INDEX('Data Set'!$B$38:$I$44,MATCH($B163,Personal_Info,0),MATCH(E$160,Name,0))</f>
        <v>6-4</v>
      </c>
      <c r="G163" s="46"/>
      <c r="H163"/>
      <c r="I163"/>
      <c r="J163"/>
    </row>
    <row r="164" spans="2:10" outlineLevel="1" x14ac:dyDescent="0.3">
      <c r="B164" s="37" t="s">
        <v>42</v>
      </c>
      <c r="C164" s="47">
        <f>INDEX('Data Set'!$B$38:$I$44,MATCH($B164,Personal_Info,0),MATCH(C$160,Name,0))</f>
        <v>145</v>
      </c>
      <c r="D164" s="47">
        <f>INDEX('Data Set'!$B$38:$I$44,MATCH($B164,Personal_Info,0),MATCH(D$160,Name,0))</f>
        <v>162</v>
      </c>
      <c r="E164" s="47">
        <f>INDEX('Data Set'!$B$38:$I$44,MATCH($B164,Personal_Info,0),MATCH(E$160,Name,0))</f>
        <v>204</v>
      </c>
      <c r="G164" s="46"/>
      <c r="H164"/>
      <c r="I164"/>
      <c r="J164"/>
    </row>
    <row r="165" spans="2:10" outlineLevel="1" x14ac:dyDescent="0.3">
      <c r="B165" s="37" t="s">
        <v>44</v>
      </c>
      <c r="C165" s="47" t="str">
        <f>INDEX('Data Set'!$B$38:$I$44,MATCH($B165,Personal_Info,0),MATCH(C$160,Name,0))</f>
        <v>Red</v>
      </c>
      <c r="D165" s="47" t="str">
        <f>INDEX('Data Set'!$B$38:$I$44,MATCH($B165,Personal_Info,0),MATCH(D$160,Name,0))</f>
        <v>Brown</v>
      </c>
      <c r="E165" s="47" t="str">
        <f>INDEX('Data Set'!$B$38:$I$44,MATCH($B165,Personal_Info,0),MATCH(E$160,Name,0))</f>
        <v>Blonde</v>
      </c>
      <c r="G165" s="46"/>
      <c r="H165"/>
      <c r="I165"/>
      <c r="J165"/>
    </row>
    <row r="166" spans="2:10" outlineLevel="1" x14ac:dyDescent="0.3">
      <c r="B166" s="37" t="s">
        <v>45</v>
      </c>
      <c r="C166" s="47" t="str">
        <f>INDEX('Data Set'!$B$38:$I$44,MATCH($B166,Personal_Info,0),MATCH(C$160,Name,0))</f>
        <v>Blue</v>
      </c>
      <c r="D166" s="47" t="str">
        <f>INDEX('Data Set'!$B$38:$I$44,MATCH($B166,Personal_Info,0),MATCH(D$160,Name,0))</f>
        <v>Blue</v>
      </c>
      <c r="E166" s="47" t="str">
        <f>INDEX('Data Set'!$B$38:$I$44,MATCH($B166,Personal_Info,0),MATCH(E$160,Name,0))</f>
        <v>Blue</v>
      </c>
      <c r="G166" s="46"/>
      <c r="H166"/>
      <c r="I166"/>
      <c r="J166"/>
    </row>
  </sheetData>
  <conditionalFormatting sqref="B100 B125:E130">
    <cfRule type="expression" dxfId="14" priority="14">
      <formula>MOD(ROW(B100),2)</formula>
    </cfRule>
  </conditionalFormatting>
  <conditionalFormatting sqref="C100">
    <cfRule type="expression" dxfId="13" priority="15">
      <formula>MOD(ROW(C100),2)</formula>
    </cfRule>
  </conditionalFormatting>
  <conditionalFormatting sqref="D100">
    <cfRule type="expression" dxfId="12" priority="13">
      <formula>MOD(ROW(D100),2)</formula>
    </cfRule>
  </conditionalFormatting>
  <conditionalFormatting sqref="E100">
    <cfRule type="expression" dxfId="11" priority="12">
      <formula>MOD(ROW(E100),2)</formula>
    </cfRule>
  </conditionalFormatting>
  <conditionalFormatting sqref="B100">
    <cfRule type="expression" dxfId="10" priority="11">
      <formula>MOD(ROW(B100),2)</formula>
    </cfRule>
  </conditionalFormatting>
  <conditionalFormatting sqref="E99">
    <cfRule type="expression" dxfId="9" priority="10">
      <formula>MOD(ROW(E99),2)</formula>
    </cfRule>
  </conditionalFormatting>
  <conditionalFormatting sqref="E124">
    <cfRule type="expression" dxfId="8" priority="9">
      <formula>MOD(ROW(E124),2)</formula>
    </cfRule>
  </conditionalFormatting>
  <conditionalFormatting sqref="D99">
    <cfRule type="expression" dxfId="7" priority="8">
      <formula>MOD(ROW(D99),2)</formula>
    </cfRule>
  </conditionalFormatting>
  <conditionalFormatting sqref="D124">
    <cfRule type="expression" dxfId="6" priority="7">
      <formula>MOD(ROW(D124),2)</formula>
    </cfRule>
  </conditionalFormatting>
  <conditionalFormatting sqref="B147:E147">
    <cfRule type="expression" dxfId="5" priority="6">
      <formula>MOD(ROW(B147),2)</formula>
    </cfRule>
  </conditionalFormatting>
  <conditionalFormatting sqref="F146">
    <cfRule type="expression" dxfId="4" priority="5">
      <formula>MOD(ROW(F146),2)</formula>
    </cfRule>
  </conditionalFormatting>
  <conditionalFormatting sqref="B148:E150">
    <cfRule type="expression" dxfId="3" priority="4">
      <formula>MOD(ROW(B148),2)</formula>
    </cfRule>
  </conditionalFormatting>
  <conditionalFormatting sqref="E146">
    <cfRule type="expression" dxfId="2" priority="3">
      <formula>MOD(ROW(E146),2)</formula>
    </cfRule>
  </conditionalFormatting>
  <conditionalFormatting sqref="F147">
    <cfRule type="expression" dxfId="1" priority="2">
      <formula>MOD(ROW(F147),2)</formula>
    </cfRule>
  </conditionalFormatting>
  <conditionalFormatting sqref="F148:F150">
    <cfRule type="expression" dxfId="0" priority="1">
      <formula>MOD(ROW(F148),2)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Send_Instruction_To_1A">
                <anchor moveWithCells="1" sizeWithCells="1">
                  <from>
                    <xdr:col>7</xdr:col>
                    <xdr:colOff>330200</xdr:colOff>
                    <xdr:row>9</xdr:row>
                    <xdr:rowOff>139700</xdr:rowOff>
                  </from>
                  <to>
                    <xdr:col>10</xdr:col>
                    <xdr:colOff>469900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ThisWorkbook.Send_Instruction_To_1B">
                <anchor moveWithCells="1" sizeWithCells="1">
                  <from>
                    <xdr:col>7</xdr:col>
                    <xdr:colOff>355600</xdr:colOff>
                    <xdr:row>27</xdr:row>
                    <xdr:rowOff>38100</xdr:rowOff>
                  </from>
                  <to>
                    <xdr:col>10</xdr:col>
                    <xdr:colOff>482600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ThisWorkbook.Send_Instruction_To_2A">
                <anchor moveWithCells="1" sizeWithCells="1">
                  <from>
                    <xdr:col>7</xdr:col>
                    <xdr:colOff>330200</xdr:colOff>
                    <xdr:row>47</xdr:row>
                    <xdr:rowOff>38100</xdr:rowOff>
                  </from>
                  <to>
                    <xdr:col>10</xdr:col>
                    <xdr:colOff>469900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hisWorkbook.Send_Instruction_To_2B">
                <anchor moveWithCells="1" sizeWithCells="1">
                  <from>
                    <xdr:col>7</xdr:col>
                    <xdr:colOff>431800</xdr:colOff>
                    <xdr:row>71</xdr:row>
                    <xdr:rowOff>139700</xdr:rowOff>
                  </from>
                  <to>
                    <xdr:col>11</xdr:col>
                    <xdr:colOff>25400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ThisWorkbook.Send_Instruction_To_3A">
                <anchor moveWithCells="1" sizeWithCells="1">
                  <from>
                    <xdr:col>7</xdr:col>
                    <xdr:colOff>444500</xdr:colOff>
                    <xdr:row>96</xdr:row>
                    <xdr:rowOff>139700</xdr:rowOff>
                  </from>
                  <to>
                    <xdr:col>11</xdr:col>
                    <xdr:colOff>38100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ThisWorkbook.Send_Instruction_To_3B">
                <anchor moveWithCells="1" sizeWithCells="1">
                  <from>
                    <xdr:col>7</xdr:col>
                    <xdr:colOff>520700</xdr:colOff>
                    <xdr:row>123</xdr:row>
                    <xdr:rowOff>63500</xdr:rowOff>
                  </from>
                  <to>
                    <xdr:col>11</xdr:col>
                    <xdr:colOff>127000</xdr:colOff>
                    <xdr:row>126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ThisWorkbook.Send_Instruction_To_4A">
                <anchor moveWithCells="1" sizeWithCells="1">
                  <from>
                    <xdr:col>8</xdr:col>
                    <xdr:colOff>50800</xdr:colOff>
                    <xdr:row>144</xdr:row>
                    <xdr:rowOff>25400</xdr:rowOff>
                  </from>
                  <to>
                    <xdr:col>11</xdr:col>
                    <xdr:colOff>177800</xdr:colOff>
                    <xdr:row>147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ThisWorkbook.Send_Instruction_To_4B">
                <anchor moveWithCells="1" sizeWithCells="1">
                  <from>
                    <xdr:col>8</xdr:col>
                    <xdr:colOff>25400</xdr:colOff>
                    <xdr:row>162</xdr:row>
                    <xdr:rowOff>12700</xdr:rowOff>
                  </from>
                  <to>
                    <xdr:col>11</xdr:col>
                    <xdr:colOff>165100</xdr:colOff>
                    <xdr:row>165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Cover Page</vt:lpstr>
      <vt:lpstr>Table of contents</vt:lpstr>
      <vt:lpstr>Data Set</vt:lpstr>
      <vt:lpstr>Section 1 - Instruction</vt:lpstr>
      <vt:lpstr>Section 1 - ANS</vt:lpstr>
      <vt:lpstr>Country</vt:lpstr>
      <vt:lpstr>EBITA</vt:lpstr>
      <vt:lpstr>EBITA_Per</vt:lpstr>
      <vt:lpstr>EBITDA</vt:lpstr>
      <vt:lpstr>EBITDA_Per</vt:lpstr>
      <vt:lpstr>Name</vt:lpstr>
      <vt:lpstr>Personal_Info</vt:lpstr>
      <vt:lpstr>Revenue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Barbara Vyse</cp:lastModifiedBy>
  <dcterms:created xsi:type="dcterms:W3CDTF">2016-06-22T22:01:00Z</dcterms:created>
  <dcterms:modified xsi:type="dcterms:W3CDTF">2019-06-07T18:46:09Z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