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bvyse008\Desktop\Coursera files to upload 06-06-19\"/>
    </mc:Choice>
  </mc:AlternateContent>
  <bookViews>
    <workbookView xWindow="0" yWindow="0" windowWidth="25600" windowHeight="11640"/>
  </bookViews>
  <sheets>
    <sheet name="Cover Page" sheetId="1" r:id="rId1"/>
    <sheet name="Table of contents" sheetId="2" r:id="rId2"/>
    <sheet name="Section 1 - Instruction" sheetId="21" r:id="rId3"/>
    <sheet name="Section 1 - Instruction (ANS)" sheetId="25" state="hidden" r:id="rId4"/>
  </sheets>
  <definedNames>
    <definedName name="_xlnm._FilterDatabase" localSheetId="2" hidden="1">'Section 1 - Instruction'!$B$44:$D$55</definedName>
    <definedName name="_xlnm._FilterDatabase" localSheetId="3" hidden="1">'Section 1 - Instruction (ANS)'!$B$65:$D$76</definedName>
    <definedName name="AprilSales">'Section 1 - Instruction'!$D$89:$D$90</definedName>
    <definedName name="FebSales">'Section 1 - Instruction'!$D$83:$D$84</definedName>
    <definedName name="JanSales">'Section 1 - Instruction'!$D$77:$D$81</definedName>
    <definedName name="MarSales">'Section 1 - Instruction'!$D$86:$D$87</definedName>
    <definedName name="Sales2">'Section 1 - Instruction'!$D$77:$D$91</definedName>
    <definedName name="SalesA">'Section 1 - Instruction'!$D$12:$D$22</definedName>
    <definedName name="SalesB">'Section 1 - Instruction'!$D$45:$D$55</definedName>
  </definedNames>
  <calcPr calcId="150001"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120" i="25" l="1"/>
  <c r="C90" i="25"/>
  <c r="C89" i="25"/>
  <c r="C88" i="25"/>
  <c r="C84" i="25"/>
  <c r="C83" i="25"/>
  <c r="C82" i="25"/>
  <c r="C34" i="25"/>
  <c r="C33" i="25"/>
  <c r="C32" i="25"/>
  <c r="C28" i="25"/>
  <c r="C27" i="25"/>
  <c r="C26" i="25"/>
  <c r="D91" i="21"/>
  <c r="D85" i="21"/>
  <c r="D126" i="25"/>
  <c r="A4" i="25"/>
  <c r="A3" i="25"/>
  <c r="A2" i="25"/>
  <c r="A1" i="25"/>
  <c r="D88" i="21"/>
  <c r="D82" i="21"/>
  <c r="G117" i="25"/>
  <c r="G116" i="25"/>
  <c r="A4" i="21"/>
  <c r="A3" i="21"/>
  <c r="A2" i="21"/>
  <c r="A1" i="21"/>
  <c r="A3" i="2"/>
  <c r="A2" i="2"/>
  <c r="A1" i="2"/>
</calcChain>
</file>

<file path=xl/sharedStrings.xml><?xml version="1.0" encoding="utf-8"?>
<sst xmlns="http://schemas.openxmlformats.org/spreadsheetml/2006/main" count="209" uniqueCount="34">
  <si>
    <t>Section</t>
  </si>
  <si>
    <t>Description</t>
  </si>
  <si>
    <t>Contained in Workbook</t>
  </si>
  <si>
    <t>Name of External Referenced File</t>
  </si>
  <si>
    <t>April</t>
  </si>
  <si>
    <t>Y</t>
  </si>
  <si>
    <t>Excel 101</t>
  </si>
  <si>
    <t>Month</t>
  </si>
  <si>
    <t>Subtotal</t>
  </si>
  <si>
    <t>Team</t>
  </si>
  <si>
    <t>Sales</t>
  </si>
  <si>
    <t>Jan</t>
  </si>
  <si>
    <t>Feb</t>
  </si>
  <si>
    <t>Mar</t>
  </si>
  <si>
    <t>Team 3</t>
  </si>
  <si>
    <t>Team 1</t>
  </si>
  <si>
    <t>Team 2</t>
  </si>
  <si>
    <t>Team 4</t>
  </si>
  <si>
    <t>Sum</t>
  </si>
  <si>
    <t>Average</t>
  </si>
  <si>
    <t>Count</t>
  </si>
  <si>
    <t>Your manager has given you a table of raw data to perform analysis on. You have been tasked to find the Sum, Average and Count of the Sales data provided below. Using the Sum, Average, count and subtotal formula's, fill in the empty fields below.</t>
  </si>
  <si>
    <t>Using subtotal, sum, average and count, record the Sum, Average and Count for each team. Hint: Use the filters combined with the subtotal function.</t>
  </si>
  <si>
    <t>Problem 1A - Instructor Lead</t>
  </si>
  <si>
    <t>Problem 1B - Student Exercise</t>
  </si>
  <si>
    <t>Problem 2 - Instructor Lead</t>
  </si>
  <si>
    <t>Using Subtotal, fill in the lines below:</t>
  </si>
  <si>
    <t>Using Sum, Average and Count, fill in the lines below:</t>
  </si>
  <si>
    <t>Using SUM and SUBTOTAL, fill in the lines below:</t>
  </si>
  <si>
    <t>Total Sales (using SUM)</t>
  </si>
  <si>
    <t>Total Sales (using SUBTOTAL)</t>
  </si>
  <si>
    <t>Problem Solving with Excel</t>
  </si>
  <si>
    <t>Week 1</t>
  </si>
  <si>
    <t>Table of Contents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</si>
</sst>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s>
  <fonts count="30" x14ac:knownFonts="1">
    <font>
      <sz val="9"/>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sz val="10"/>
      <name val="Arial"/>
      <family val="2"/>
    </font>
    <font>
      <b/>
      <sz val="10"/>
      <color theme="6" tint="-0.249977111117893"/>
      <name val="Arial"/>
      <family val="2"/>
    </font>
    <font>
      <b/>
      <u/>
      <sz val="14"/>
      <color theme="3"/>
      <name val="Calibri"/>
      <family val="2"/>
      <scheme val="minor"/>
    </font>
    <font>
      <sz val="8"/>
      <color theme="1"/>
      <name val="Arial"/>
      <family val="2"/>
    </font>
    <font>
      <b/>
      <sz val="10"/>
      <name val="Arial"/>
      <family val="2"/>
    </font>
    <font>
      <b/>
      <sz val="14"/>
      <color rgb="FF7A1818"/>
      <name val="Calibri"/>
      <family val="2"/>
    </font>
    <font>
      <b/>
      <sz val="10"/>
      <color rgb="FFFFFFFF"/>
      <name val="Arial"/>
      <family val="2"/>
    </font>
    <font>
      <sz val="10"/>
      <color rgb="FF602320"/>
      <name val="Arial"/>
      <family val="2"/>
    </font>
    <font>
      <b/>
      <sz val="12"/>
      <color rgb="FF000000"/>
      <name val="Calibri"/>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rgb="FF602320"/>
        <bgColor rgb="FF000000"/>
      </patternFill>
    </fill>
    <fill>
      <patternFill patternType="solid">
        <fgColor theme="7" tint="0.59999389629810485"/>
        <bgColor indexed="64"/>
      </patternFill>
    </fill>
  </fills>
  <borders count="1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rgb="FF602320"/>
      </bottom>
      <diagonal/>
    </border>
    <border>
      <left/>
      <right/>
      <top style="thin">
        <color rgb="FF602320"/>
      </top>
      <bottom style="thin">
        <color rgb="FF602320"/>
      </bottom>
      <diagonal/>
    </border>
  </borders>
  <cellStyleXfs count="34">
    <xf numFmtId="164" fontId="0" fillId="0" borderId="0"/>
    <xf numFmtId="9" fontId="1" fillId="0" borderId="0" applyFont="0" applyFill="0" applyBorder="0" applyAlignment="0" applyProtection="0"/>
    <xf numFmtId="49" fontId="19"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0" fillId="0" borderId="10"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0" fontId="16" fillId="0" borderId="8" applyFill="0" applyProtection="0">
      <alignment wrapText="1"/>
    </xf>
    <xf numFmtId="164" fontId="18" fillId="0" borderId="9" applyNumberFormat="0" applyFill="0" applyAlignment="0" applyProtection="0"/>
    <xf numFmtId="0" fontId="2" fillId="0" borderId="0" applyAlignment="0" applyProtection="0"/>
    <xf numFmtId="0" fontId="18" fillId="0" borderId="10" applyNumberFormat="0" applyFill="0" applyAlignment="0" applyProtection="0"/>
    <xf numFmtId="0" fontId="21" fillId="0" borderId="0"/>
    <xf numFmtId="164" fontId="6" fillId="0" borderId="0"/>
    <xf numFmtId="44" fontId="6" fillId="0" borderId="0" applyFont="0" applyFill="0" applyBorder="0" applyAlignment="0" applyProtection="0"/>
    <xf numFmtId="43" fontId="6" fillId="0" borderId="0" applyFont="0" applyFill="0" applyBorder="0" applyAlignment="0" applyProtection="0"/>
  </cellStyleXfs>
  <cellXfs count="23">
    <xf numFmtId="164" fontId="0" fillId="0" borderId="0" xfId="0"/>
    <xf numFmtId="0" fontId="21" fillId="0" borderId="0" xfId="30"/>
    <xf numFmtId="0" fontId="22" fillId="0" borderId="0" xfId="30" applyFont="1"/>
    <xf numFmtId="0" fontId="16" fillId="0" borderId="6" xfId="24" applyAlignment="1">
      <alignment horizontal="left" wrapText="1"/>
    </xf>
    <xf numFmtId="0" fontId="23" fillId="0" borderId="0" xfId="28" applyFont="1"/>
    <xf numFmtId="0" fontId="21" fillId="0" borderId="0" xfId="30" applyBorder="1"/>
    <xf numFmtId="164" fontId="24" fillId="0" borderId="0" xfId="0" applyFont="1" applyAlignment="1">
      <alignment vertical="center"/>
    </xf>
    <xf numFmtId="164" fontId="0" fillId="0" borderId="11" xfId="0" applyBorder="1"/>
    <xf numFmtId="44" fontId="0" fillId="0" borderId="11" xfId="32" applyFont="1" applyBorder="1"/>
    <xf numFmtId="44" fontId="18" fillId="0" borderId="11" xfId="32" applyFont="1" applyBorder="1"/>
    <xf numFmtId="44" fontId="0" fillId="0" borderId="13" xfId="32" applyFont="1" applyBorder="1"/>
    <xf numFmtId="44" fontId="18" fillId="0" borderId="12" xfId="32" applyFont="1" applyBorder="1"/>
    <xf numFmtId="0" fontId="25" fillId="0" borderId="0" xfId="30" applyFont="1" applyBorder="1" applyAlignment="1">
      <alignment horizontal="center" vertical="center"/>
    </xf>
    <xf numFmtId="164" fontId="0" fillId="0" borderId="0" xfId="0" applyBorder="1"/>
    <xf numFmtId="164" fontId="26" fillId="0" borderId="0" xfId="0" applyNumberFormat="1" applyFont="1"/>
    <xf numFmtId="164" fontId="27" fillId="11" borderId="14" xfId="0" applyNumberFormat="1" applyFont="1" applyFill="1" applyBorder="1" applyAlignment="1">
      <alignment horizontal="left" vertical="top"/>
    </xf>
    <xf numFmtId="0" fontId="21" fillId="0" borderId="0" xfId="30" applyAlignment="1">
      <alignment wrapText="1"/>
    </xf>
    <xf numFmtId="166" fontId="28" fillId="12" borderId="15" xfId="32" applyNumberFormat="1" applyFont="1" applyFill="1" applyBorder="1" applyAlignment="1">
      <alignment horizontal="right" vertical="center"/>
    </xf>
    <xf numFmtId="164" fontId="27" fillId="11" borderId="14" xfId="0" applyNumberFormat="1" applyFont="1" applyFill="1" applyBorder="1" applyAlignment="1">
      <alignment horizontal="left" vertical="center" wrapText="1"/>
    </xf>
    <xf numFmtId="164" fontId="27" fillId="11" borderId="14" xfId="0" applyNumberFormat="1" applyFont="1" applyFill="1" applyBorder="1" applyAlignment="1">
      <alignment horizontal="left" vertical="center"/>
    </xf>
    <xf numFmtId="1" fontId="28" fillId="12" borderId="15" xfId="33" applyNumberFormat="1" applyFont="1" applyFill="1" applyBorder="1" applyAlignment="1">
      <alignment horizontal="right" vertical="center"/>
    </xf>
    <xf numFmtId="0" fontId="28" fillId="12" borderId="15" xfId="33" applyNumberFormat="1" applyFont="1" applyFill="1" applyBorder="1" applyAlignment="1">
      <alignment horizontal="right" vertical="center"/>
    </xf>
    <xf numFmtId="0" fontId="21" fillId="0" borderId="0" xfId="30" applyAlignment="1">
      <alignment horizontal="left" wrapText="1"/>
    </xf>
  </cellXfs>
  <cellStyles count="34">
    <cellStyle name="Bad" xfId="8" builtinId="27" customBuiltin="1"/>
    <cellStyle name="Calculation" xfId="12" builtinId="22" customBuiltin="1"/>
    <cellStyle name="Check Cell" xfId="14" builtinId="23" customBuiltin="1"/>
    <cellStyle name="Comma" xfId="33" builtinId="3"/>
    <cellStyle name="Currency" xfId="32" builtinId="4"/>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ustomBuiltin="1"/>
    <cellStyle name="Normal 2" xfId="30"/>
    <cellStyle name="Normal 3"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24</xdr:row>
          <xdr:rowOff>152400</xdr:rowOff>
        </xdr:from>
        <xdr:to>
          <xdr:col>2</xdr:col>
          <xdr:colOff>749300</xdr:colOff>
          <xdr:row>28</xdr:row>
          <xdr:rowOff>38100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685800</xdr:colOff>
          <xdr:row>58</xdr:row>
          <xdr:rowOff>88900</xdr:rowOff>
        </xdr:from>
        <xdr:to>
          <xdr:col>2</xdr:col>
          <xdr:colOff>863600</xdr:colOff>
          <xdr:row>61</xdr:row>
          <xdr:rowOff>139700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469900</xdr:colOff>
          <xdr:row>92</xdr:row>
          <xdr:rowOff>101600</xdr:rowOff>
        </xdr:from>
        <xdr:to>
          <xdr:col>2</xdr:col>
          <xdr:colOff>647700</xdr:colOff>
          <xdr:row>95</xdr:row>
          <xdr:rowOff>139700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571500</xdr:colOff>
          <xdr:row>46</xdr:row>
          <xdr:rowOff>101600</xdr:rowOff>
        </xdr:from>
        <xdr:to>
          <xdr:col>3</xdr:col>
          <xdr:colOff>749300</xdr:colOff>
          <xdr:row>49</xdr:row>
          <xdr:rowOff>139700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97</xdr:row>
          <xdr:rowOff>114300</xdr:rowOff>
        </xdr:from>
        <xdr:to>
          <xdr:col>3</xdr:col>
          <xdr:colOff>863600</xdr:colOff>
          <xdr:row>101</xdr:row>
          <xdr:rowOff>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469900</xdr:colOff>
          <xdr:row>133</xdr:row>
          <xdr:rowOff>25400</xdr:rowOff>
        </xdr:from>
        <xdr:to>
          <xdr:col>3</xdr:col>
          <xdr:colOff>647700</xdr:colOff>
          <xdr:row>136</xdr:row>
          <xdr:rowOff>63500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
  <sheetViews>
    <sheetView showGridLines="0" tabSelected="1" workbookViewId="0">
      <selection activeCell="I1" sqref="I1"/>
    </sheetView>
  </sheetViews>
  <sheetFormatPr defaultColWidth="9" defaultRowHeight="12" x14ac:dyDescent="0.3"/>
  <sheetData>
    <row r="1" spans="1:1" ht="18.5" x14ac:dyDescent="0.45">
      <c r="A1" s="14" t="s">
        <v>31</v>
      </c>
    </row>
    <row r="2" spans="1:1" ht="18.5" x14ac:dyDescent="0.45">
      <c r="A2" s="14" t="s">
        <v>32</v>
      </c>
    </row>
    <row r="3" spans="1:1" ht="18.5" x14ac:dyDescent="0.45">
      <c r="A3" s="14" t="s">
        <v>8</v>
      </c>
    </row>
    <row r="9" spans="1:1" x14ac:dyDescent="0.3">
      <c r="A9" s="6"/>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
  <sheetViews>
    <sheetView showGridLines="0" workbookViewId="0">
      <selection activeCell="E1" sqref="E1"/>
    </sheetView>
  </sheetViews>
  <sheetFormatPr defaultColWidth="9.44140625" defaultRowHeight="12.5" x14ac:dyDescent="0.25"/>
  <cols>
    <col min="1" max="1" width="9.44140625" style="1"/>
    <col min="2" max="2" width="10.77734375" style="1" bestFit="1" customWidth="1"/>
    <col min="3" max="3" width="34.44140625" style="1" customWidth="1"/>
    <col min="4" max="4" width="29" style="1" bestFit="1" customWidth="1"/>
    <col min="5" max="5" width="40.5546875" style="1" customWidth="1"/>
    <col min="6" max="16384" width="9.44140625" style="1"/>
  </cols>
  <sheetData>
    <row r="1" spans="1:5" ht="13" x14ac:dyDescent="0.3">
      <c r="A1" s="2" t="str">
        <f>'Cover Page'!A1</f>
        <v>Problem Solving with Excel</v>
      </c>
    </row>
    <row r="2" spans="1:5" ht="13" x14ac:dyDescent="0.3">
      <c r="A2" s="2" t="str">
        <f>'Cover Page'!A2</f>
        <v>Week 1</v>
      </c>
    </row>
    <row r="3" spans="1:5" ht="13" x14ac:dyDescent="0.3">
      <c r="A3" s="2" t="str">
        <f>'Cover Page'!A3</f>
        <v>Subtotal</v>
      </c>
    </row>
    <row r="4" spans="1:5" ht="13" x14ac:dyDescent="0.3">
      <c r="A4" s="2" t="s">
        <v>33</v>
      </c>
    </row>
    <row r="7" spans="1:5" ht="13.5" thickBot="1" x14ac:dyDescent="0.35">
      <c r="B7" s="3" t="s">
        <v>0</v>
      </c>
      <c r="C7" s="3" t="s">
        <v>1</v>
      </c>
      <c r="D7" s="3" t="s">
        <v>2</v>
      </c>
      <c r="E7" s="3" t="s">
        <v>3</v>
      </c>
    </row>
    <row r="8" spans="1:5" x14ac:dyDescent="0.25">
      <c r="B8" s="1">
        <v>1</v>
      </c>
      <c r="C8" s="1" t="s">
        <v>8</v>
      </c>
      <c r="D8" s="1" t="s">
        <v>5</v>
      </c>
      <c r="E8" s="1" t="s">
        <v>6</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98"/>
  <sheetViews>
    <sheetView showGridLines="0" workbookViewId="0">
      <selection activeCell="C2" sqref="C2"/>
    </sheetView>
  </sheetViews>
  <sheetFormatPr defaultColWidth="9.44140625" defaultRowHeight="12.5" outlineLevelRow="1" x14ac:dyDescent="0.25"/>
  <cols>
    <col min="1" max="1" width="9.44140625" style="1"/>
    <col min="2" max="4" width="29.5546875" style="1" customWidth="1"/>
    <col min="5" max="5" width="25.44140625" style="1" customWidth="1"/>
    <col min="6" max="6" width="34.21875" style="1" customWidth="1"/>
    <col min="7" max="7" width="29.44140625" style="1" customWidth="1"/>
    <col min="8" max="8" width="15.44140625" style="1" bestFit="1" customWidth="1"/>
    <col min="9" max="9" width="14.44140625" style="1" bestFit="1" customWidth="1"/>
    <col min="10" max="10" width="15.77734375" style="1" bestFit="1" customWidth="1"/>
    <col min="11" max="11" width="14.44140625" style="1" bestFit="1" customWidth="1"/>
    <col min="12" max="16384" width="9.44140625" style="1"/>
  </cols>
  <sheetData>
    <row r="1" spans="1:16" ht="13" x14ac:dyDescent="0.3">
      <c r="A1" s="2" t="str">
        <f>'Cover Page'!A1</f>
        <v>Problem Solving with Excel</v>
      </c>
    </row>
    <row r="2" spans="1:16" ht="13" x14ac:dyDescent="0.3">
      <c r="A2" s="2" t="str">
        <f>'Cover Page'!A2</f>
        <v>Week 1</v>
      </c>
    </row>
    <row r="3" spans="1:16" ht="13" x14ac:dyDescent="0.3">
      <c r="A3" s="2" t="str">
        <f>'Cover Page'!A3</f>
        <v>Subtotal</v>
      </c>
    </row>
    <row r="4" spans="1:16" ht="13" x14ac:dyDescent="0.3">
      <c r="A4" s="2" t="str">
        <f ca="1">MID(CELL("Filename",I7),SEARCH("]",CELL("Filename",I7),1)+1,100)</f>
        <v>Section 1 - Instruction</v>
      </c>
    </row>
    <row r="5" spans="1:16" ht="13" x14ac:dyDescent="0.3">
      <c r="A5" s="2"/>
    </row>
    <row r="6" spans="1:16" x14ac:dyDescent="0.25">
      <c r="P6" s="5"/>
    </row>
    <row r="7" spans="1:16" ht="18.5" x14ac:dyDescent="0.45">
      <c r="B7" s="4" t="s">
        <v>23</v>
      </c>
    </row>
    <row r="8" spans="1:16" ht="13" hidden="1" outlineLevel="1" x14ac:dyDescent="0.3">
      <c r="B8" s="22" t="s">
        <v>21</v>
      </c>
      <c r="C8" s="22"/>
      <c r="D8" s="22"/>
      <c r="F8"/>
      <c r="G8"/>
      <c r="H8"/>
    </row>
    <row r="9" spans="1:16" ht="37.5" hidden="1" customHeight="1" outlineLevel="1" x14ac:dyDescent="0.3">
      <c r="B9" s="22"/>
      <c r="C9" s="22"/>
      <c r="D9" s="22"/>
      <c r="E9"/>
      <c r="F9"/>
      <c r="G9"/>
      <c r="H9"/>
    </row>
    <row r="10" spans="1:16" ht="13" hidden="1" outlineLevel="1" x14ac:dyDescent="0.3">
      <c r="B10"/>
      <c r="C10"/>
      <c r="D10"/>
      <c r="E10"/>
      <c r="F10"/>
      <c r="G10"/>
      <c r="H10"/>
    </row>
    <row r="11" spans="1:16" ht="13" hidden="1" outlineLevel="1" x14ac:dyDescent="0.3">
      <c r="B11" s="15" t="s">
        <v>7</v>
      </c>
      <c r="C11" s="15" t="s">
        <v>9</v>
      </c>
      <c r="D11" s="15" t="s">
        <v>10</v>
      </c>
      <c r="E11"/>
      <c r="F11" s="5" t="s">
        <v>27</v>
      </c>
      <c r="G11" s="16"/>
      <c r="H11"/>
    </row>
    <row r="12" spans="1:16" ht="13" hidden="1" outlineLevel="1" x14ac:dyDescent="0.3">
      <c r="B12" s="7" t="s">
        <v>11</v>
      </c>
      <c r="C12" s="7" t="s">
        <v>14</v>
      </c>
      <c r="D12" s="8">
        <v>1522</v>
      </c>
      <c r="E12"/>
      <c r="F12" s="5"/>
      <c r="G12" s="16"/>
      <c r="H12"/>
    </row>
    <row r="13" spans="1:16" ht="13" hidden="1" outlineLevel="1" x14ac:dyDescent="0.3">
      <c r="B13" s="7" t="s">
        <v>11</v>
      </c>
      <c r="C13" s="7" t="s">
        <v>15</v>
      </c>
      <c r="D13" s="8">
        <v>1589</v>
      </c>
      <c r="E13"/>
      <c r="F13" s="19" t="s">
        <v>18</v>
      </c>
      <c r="G13" s="17"/>
      <c r="H13"/>
    </row>
    <row r="14" spans="1:16" ht="13" hidden="1" outlineLevel="1" x14ac:dyDescent="0.3">
      <c r="B14" s="7" t="s">
        <v>11</v>
      </c>
      <c r="C14" s="7" t="s">
        <v>16</v>
      </c>
      <c r="D14" s="8">
        <v>1829</v>
      </c>
      <c r="E14"/>
      <c r="F14" s="19" t="s">
        <v>19</v>
      </c>
      <c r="G14" s="17"/>
      <c r="H14"/>
    </row>
    <row r="15" spans="1:16" ht="13" hidden="1" outlineLevel="1" x14ac:dyDescent="0.3">
      <c r="B15" s="7" t="s">
        <v>11</v>
      </c>
      <c r="C15" s="7" t="s">
        <v>16</v>
      </c>
      <c r="D15" s="8">
        <v>1797</v>
      </c>
      <c r="E15"/>
      <c r="F15" s="19" t="s">
        <v>20</v>
      </c>
      <c r="G15" s="20"/>
      <c r="H15"/>
    </row>
    <row r="16" spans="1:16" ht="13" hidden="1" outlineLevel="1" x14ac:dyDescent="0.3">
      <c r="B16" s="7" t="s">
        <v>11</v>
      </c>
      <c r="C16" s="7" t="s">
        <v>15</v>
      </c>
      <c r="D16" s="8">
        <v>1744</v>
      </c>
      <c r="E16"/>
      <c r="H16"/>
    </row>
    <row r="17" spans="1:9" ht="13" hidden="1" outlineLevel="1" x14ac:dyDescent="0.3">
      <c r="B17" s="7" t="s">
        <v>12</v>
      </c>
      <c r="C17" s="7" t="s">
        <v>15</v>
      </c>
      <c r="D17" s="8">
        <v>1868</v>
      </c>
      <c r="E17"/>
      <c r="F17" s="5" t="s">
        <v>26</v>
      </c>
      <c r="G17" s="16"/>
      <c r="H17"/>
    </row>
    <row r="18" spans="1:9" ht="13" hidden="1" outlineLevel="1" x14ac:dyDescent="0.3">
      <c r="B18" s="7" t="s">
        <v>12</v>
      </c>
      <c r="C18" s="7" t="s">
        <v>17</v>
      </c>
      <c r="D18" s="8">
        <v>1694</v>
      </c>
      <c r="E18"/>
      <c r="F18" s="5"/>
      <c r="G18" s="16"/>
      <c r="H18"/>
    </row>
    <row r="19" spans="1:9" ht="13" hidden="1" outlineLevel="1" x14ac:dyDescent="0.3">
      <c r="B19" s="7" t="s">
        <v>13</v>
      </c>
      <c r="C19" s="7" t="s">
        <v>17</v>
      </c>
      <c r="D19" s="8">
        <v>1626</v>
      </c>
      <c r="E19"/>
      <c r="F19" s="19" t="s">
        <v>18</v>
      </c>
      <c r="G19" s="17"/>
      <c r="H19"/>
    </row>
    <row r="20" spans="1:9" ht="13" hidden="1" outlineLevel="1" x14ac:dyDescent="0.3">
      <c r="B20" s="7" t="s">
        <v>13</v>
      </c>
      <c r="C20" s="7" t="s">
        <v>15</v>
      </c>
      <c r="D20" s="8">
        <v>1781</v>
      </c>
      <c r="E20"/>
      <c r="F20" s="19" t="s">
        <v>19</v>
      </c>
      <c r="G20" s="17"/>
      <c r="H20"/>
    </row>
    <row r="21" spans="1:9" ht="13" hidden="1" outlineLevel="1" x14ac:dyDescent="0.3">
      <c r="B21" s="7" t="s">
        <v>4</v>
      </c>
      <c r="C21" s="7" t="s">
        <v>16</v>
      </c>
      <c r="D21" s="8">
        <v>1279</v>
      </c>
      <c r="E21"/>
      <c r="F21" s="19" t="s">
        <v>20</v>
      </c>
      <c r="G21" s="20"/>
      <c r="H21"/>
    </row>
    <row r="22" spans="1:9" ht="13" hidden="1" outlineLevel="1" x14ac:dyDescent="0.3">
      <c r="B22" s="7" t="s">
        <v>4</v>
      </c>
      <c r="C22" s="7" t="s">
        <v>14</v>
      </c>
      <c r="D22" s="8">
        <v>1684</v>
      </c>
      <c r="E22"/>
      <c r="F22"/>
      <c r="G22"/>
      <c r="H22"/>
    </row>
    <row r="23" spans="1:9" ht="13" hidden="1" outlineLevel="1" x14ac:dyDescent="0.3">
      <c r="B23"/>
      <c r="C23"/>
      <c r="D23"/>
      <c r="E23"/>
      <c r="F23"/>
      <c r="G23"/>
      <c r="H23"/>
    </row>
    <row r="24" spans="1:9" ht="13" hidden="1" outlineLevel="1" x14ac:dyDescent="0.3">
      <c r="D24" s="16"/>
      <c r="E24" s="16"/>
      <c r="F24"/>
      <c r="G24"/>
      <c r="H24"/>
    </row>
    <row r="25" spans="1:9" ht="13" hidden="1" outlineLevel="1" x14ac:dyDescent="0.3">
      <c r="D25" s="16"/>
      <c r="E25" s="16"/>
      <c r="F25"/>
      <c r="G25"/>
      <c r="H25"/>
    </row>
    <row r="26" spans="1:9" ht="13" hidden="1" outlineLevel="1" x14ac:dyDescent="0.3">
      <c r="E26"/>
      <c r="F26"/>
      <c r="G26"/>
      <c r="H26"/>
      <c r="I26"/>
    </row>
    <row r="27" spans="1:9" ht="13" hidden="1" outlineLevel="1" x14ac:dyDescent="0.3">
      <c r="E27"/>
      <c r="F27"/>
      <c r="G27"/>
      <c r="H27"/>
      <c r="I27"/>
    </row>
    <row r="28" spans="1:9" ht="13" hidden="1" outlineLevel="1" x14ac:dyDescent="0.3">
      <c r="E28"/>
      <c r="F28"/>
      <c r="G28"/>
      <c r="H28" s="12"/>
      <c r="I28"/>
    </row>
    <row r="29" spans="1:9" ht="13" hidden="1" outlineLevel="1" x14ac:dyDescent="0.3">
      <c r="E29"/>
      <c r="F29"/>
      <c r="G29"/>
      <c r="H29"/>
      <c r="I29"/>
    </row>
    <row r="30" spans="1:9" ht="13" hidden="1" outlineLevel="1" x14ac:dyDescent="0.3">
      <c r="A30"/>
      <c r="D30" s="13"/>
      <c r="E30"/>
      <c r="F30"/>
      <c r="G30"/>
      <c r="H30"/>
      <c r="I30"/>
    </row>
    <row r="31" spans="1:9" ht="14" hidden="1" customHeight="1" outlineLevel="1" x14ac:dyDescent="0.3">
      <c r="A31"/>
      <c r="D31" s="13"/>
      <c r="E31"/>
      <c r="F31"/>
      <c r="G31"/>
      <c r="H31"/>
      <c r="I31"/>
    </row>
    <row r="32" spans="1:9" ht="13" hidden="1" outlineLevel="1" x14ac:dyDescent="0.3">
      <c r="A32"/>
      <c r="D32" s="13"/>
      <c r="E32"/>
      <c r="F32"/>
      <c r="G32"/>
      <c r="H32"/>
      <c r="I32"/>
    </row>
    <row r="33" spans="1:9" ht="13.25" hidden="1" customHeight="1" outlineLevel="1" x14ac:dyDescent="0.3">
      <c r="A33"/>
      <c r="D33" s="13"/>
      <c r="E33"/>
      <c r="F33"/>
      <c r="G33"/>
      <c r="H33"/>
      <c r="I33"/>
    </row>
    <row r="34" spans="1:9" ht="13" hidden="1" outlineLevel="1" x14ac:dyDescent="0.3">
      <c r="A34"/>
      <c r="D34" s="13"/>
      <c r="E34"/>
      <c r="F34"/>
      <c r="G34"/>
      <c r="H34"/>
      <c r="I34"/>
    </row>
    <row r="35" spans="1:9" ht="13" hidden="1" outlineLevel="1" x14ac:dyDescent="0.3">
      <c r="A35"/>
      <c r="B35" s="13"/>
      <c r="C35" s="13"/>
      <c r="D35" s="13"/>
      <c r="E35"/>
      <c r="F35"/>
      <c r="G35"/>
      <c r="H35"/>
      <c r="I35"/>
    </row>
    <row r="36" spans="1:9" ht="13" hidden="1" outlineLevel="1" x14ac:dyDescent="0.3">
      <c r="A36"/>
      <c r="B36" s="13"/>
      <c r="C36" s="13"/>
      <c r="D36" s="13"/>
      <c r="E36"/>
      <c r="F36"/>
      <c r="G36"/>
      <c r="H36"/>
      <c r="I36"/>
    </row>
    <row r="37" spans="1:9" ht="13" hidden="1" outlineLevel="1" x14ac:dyDescent="0.3">
      <c r="A37"/>
      <c r="B37" s="13"/>
      <c r="C37" s="13"/>
      <c r="D37" s="13"/>
      <c r="E37"/>
      <c r="F37"/>
      <c r="G37"/>
      <c r="H37"/>
      <c r="I37"/>
    </row>
    <row r="38" spans="1:9" ht="13" hidden="1" outlineLevel="1" x14ac:dyDescent="0.3">
      <c r="A38"/>
      <c r="B38" s="13"/>
      <c r="C38" s="13"/>
      <c r="D38" s="13"/>
      <c r="E38"/>
      <c r="F38"/>
      <c r="G38"/>
      <c r="H38"/>
      <c r="I38"/>
    </row>
    <row r="39" spans="1:9" ht="13" hidden="1" outlineLevel="1" x14ac:dyDescent="0.3">
      <c r="A39"/>
      <c r="B39"/>
      <c r="C39"/>
      <c r="D39"/>
      <c r="E39"/>
      <c r="F39"/>
      <c r="G39"/>
      <c r="H39"/>
    </row>
    <row r="40" spans="1:9" ht="18.5" collapsed="1" x14ac:dyDescent="0.45">
      <c r="A40"/>
      <c r="B40" s="4" t="s">
        <v>24</v>
      </c>
      <c r="E40"/>
      <c r="F40"/>
      <c r="G40"/>
      <c r="H40"/>
    </row>
    <row r="41" spans="1:9" ht="13" hidden="1" outlineLevel="1" x14ac:dyDescent="0.3">
      <c r="A41"/>
      <c r="B41" s="22" t="s">
        <v>22</v>
      </c>
      <c r="C41" s="22"/>
      <c r="D41" s="22"/>
      <c r="E41"/>
      <c r="F41"/>
      <c r="G41"/>
      <c r="H41"/>
    </row>
    <row r="42" spans="1:9" ht="12.75" hidden="1" customHeight="1" outlineLevel="1" x14ac:dyDescent="0.3">
      <c r="A42"/>
      <c r="B42" s="22"/>
      <c r="C42" s="22"/>
      <c r="D42" s="22"/>
      <c r="E42"/>
      <c r="F42"/>
      <c r="G42"/>
      <c r="H42"/>
    </row>
    <row r="43" spans="1:9" ht="13" hidden="1" outlineLevel="1" x14ac:dyDescent="0.3">
      <c r="A43"/>
      <c r="B43"/>
      <c r="C43"/>
      <c r="D43"/>
      <c r="E43"/>
      <c r="F43"/>
      <c r="G43"/>
      <c r="H43"/>
    </row>
    <row r="44" spans="1:9" ht="13" hidden="1" outlineLevel="1" x14ac:dyDescent="0.3">
      <c r="A44"/>
      <c r="B44" s="15" t="s">
        <v>7</v>
      </c>
      <c r="C44" s="15" t="s">
        <v>9</v>
      </c>
      <c r="D44" s="15" t="s">
        <v>10</v>
      </c>
      <c r="E44"/>
      <c r="F44" s="5" t="s">
        <v>27</v>
      </c>
      <c r="G44" s="16"/>
      <c r="H44"/>
    </row>
    <row r="45" spans="1:9" ht="13" hidden="1" outlineLevel="1" x14ac:dyDescent="0.3">
      <c r="A45"/>
      <c r="B45" s="7" t="s">
        <v>11</v>
      </c>
      <c r="C45" s="7" t="s">
        <v>14</v>
      </c>
      <c r="D45" s="8">
        <v>1522</v>
      </c>
      <c r="E45"/>
      <c r="F45" s="5"/>
      <c r="G45" s="16"/>
      <c r="H45"/>
    </row>
    <row r="46" spans="1:9" ht="13" hidden="1" outlineLevel="1" x14ac:dyDescent="0.3">
      <c r="A46"/>
      <c r="B46" s="7" t="s">
        <v>11</v>
      </c>
      <c r="C46" s="7" t="s">
        <v>15</v>
      </c>
      <c r="D46" s="8">
        <v>1589</v>
      </c>
      <c r="E46"/>
      <c r="F46" s="15" t="s">
        <v>18</v>
      </c>
      <c r="G46" s="17"/>
    </row>
    <row r="47" spans="1:9" ht="13" hidden="1" outlineLevel="1" x14ac:dyDescent="0.3">
      <c r="A47"/>
      <c r="B47" s="7" t="s">
        <v>11</v>
      </c>
      <c r="C47" s="7" t="s">
        <v>16</v>
      </c>
      <c r="D47" s="8">
        <v>1829</v>
      </c>
      <c r="E47"/>
      <c r="F47" s="15" t="s">
        <v>19</v>
      </c>
      <c r="G47" s="17"/>
    </row>
    <row r="48" spans="1:9" ht="13" hidden="1" outlineLevel="1" x14ac:dyDescent="0.3">
      <c r="B48" s="7" t="s">
        <v>11</v>
      </c>
      <c r="C48" s="7" t="s">
        <v>16</v>
      </c>
      <c r="D48" s="8">
        <v>1797</v>
      </c>
      <c r="F48" s="15" t="s">
        <v>20</v>
      </c>
      <c r="G48" s="21"/>
    </row>
    <row r="49" spans="1:9" ht="13" hidden="1" outlineLevel="1" x14ac:dyDescent="0.3">
      <c r="B49" s="7" t="s">
        <v>11</v>
      </c>
      <c r="C49" s="7" t="s">
        <v>15</v>
      </c>
      <c r="D49" s="8">
        <v>1744</v>
      </c>
    </row>
    <row r="50" spans="1:9" ht="13" hidden="1" outlineLevel="1" x14ac:dyDescent="0.3">
      <c r="B50" s="7" t="s">
        <v>12</v>
      </c>
      <c r="C50" s="7" t="s">
        <v>15</v>
      </c>
      <c r="D50" s="8">
        <v>1868</v>
      </c>
      <c r="F50" s="5" t="s">
        <v>26</v>
      </c>
      <c r="G50" s="16"/>
    </row>
    <row r="51" spans="1:9" ht="13" hidden="1" outlineLevel="1" x14ac:dyDescent="0.3">
      <c r="B51" s="7" t="s">
        <v>12</v>
      </c>
      <c r="C51" s="7" t="s">
        <v>17</v>
      </c>
      <c r="D51" s="8">
        <v>1694</v>
      </c>
      <c r="F51" s="5"/>
      <c r="G51" s="16"/>
    </row>
    <row r="52" spans="1:9" ht="13" hidden="1" outlineLevel="1" x14ac:dyDescent="0.3">
      <c r="B52" s="7" t="s">
        <v>13</v>
      </c>
      <c r="C52" s="7" t="s">
        <v>17</v>
      </c>
      <c r="D52" s="8">
        <v>1626</v>
      </c>
      <c r="F52" s="15" t="s">
        <v>18</v>
      </c>
      <c r="G52" s="17"/>
    </row>
    <row r="53" spans="1:9" ht="13" hidden="1" outlineLevel="1" x14ac:dyDescent="0.3">
      <c r="B53" s="7" t="s">
        <v>13</v>
      </c>
      <c r="C53" s="7" t="s">
        <v>15</v>
      </c>
      <c r="D53" s="8">
        <v>1781</v>
      </c>
      <c r="F53" s="15" t="s">
        <v>19</v>
      </c>
      <c r="G53" s="17"/>
    </row>
    <row r="54" spans="1:9" ht="13" hidden="1" outlineLevel="1" x14ac:dyDescent="0.3">
      <c r="B54" s="7" t="s">
        <v>4</v>
      </c>
      <c r="C54" s="7" t="s">
        <v>16</v>
      </c>
      <c r="D54" s="8">
        <v>1279</v>
      </c>
      <c r="F54" s="15" t="s">
        <v>20</v>
      </c>
      <c r="G54" s="21"/>
    </row>
    <row r="55" spans="1:9" ht="13" hidden="1" outlineLevel="1" x14ac:dyDescent="0.3">
      <c r="B55" s="7" t="s">
        <v>4</v>
      </c>
      <c r="C55" s="7" t="s">
        <v>14</v>
      </c>
      <c r="D55" s="8">
        <v>1684</v>
      </c>
    </row>
    <row r="56" spans="1:9" ht="13" hidden="1" outlineLevel="1" x14ac:dyDescent="0.3">
      <c r="B56"/>
      <c r="C56"/>
      <c r="D56"/>
    </row>
    <row r="57" spans="1:9" ht="13" hidden="1" outlineLevel="1" x14ac:dyDescent="0.3">
      <c r="D57" s="16"/>
      <c r="E57" s="16"/>
      <c r="F57"/>
      <c r="G57"/>
      <c r="H57"/>
    </row>
    <row r="58" spans="1:9" ht="13" hidden="1" outlineLevel="1" x14ac:dyDescent="0.3">
      <c r="D58" s="16"/>
      <c r="E58" s="16"/>
      <c r="F58"/>
      <c r="G58"/>
      <c r="H58"/>
    </row>
    <row r="59" spans="1:9" ht="13" hidden="1" outlineLevel="1" x14ac:dyDescent="0.3">
      <c r="E59"/>
      <c r="F59"/>
      <c r="G59"/>
      <c r="H59"/>
      <c r="I59"/>
    </row>
    <row r="60" spans="1:9" ht="13" hidden="1" outlineLevel="1" x14ac:dyDescent="0.3">
      <c r="E60"/>
      <c r="F60"/>
      <c r="G60"/>
      <c r="H60"/>
      <c r="I60"/>
    </row>
    <row r="61" spans="1:9" ht="13" hidden="1" outlineLevel="1" x14ac:dyDescent="0.3">
      <c r="E61"/>
      <c r="F61"/>
      <c r="G61"/>
      <c r="H61" s="12"/>
      <c r="I61"/>
    </row>
    <row r="62" spans="1:9" ht="13" hidden="1" outlineLevel="1" x14ac:dyDescent="0.3">
      <c r="E62"/>
      <c r="F62"/>
      <c r="G62"/>
      <c r="H62"/>
      <c r="I62"/>
    </row>
    <row r="63" spans="1:9" ht="13" hidden="1" outlineLevel="1" x14ac:dyDescent="0.3">
      <c r="D63"/>
      <c r="E63"/>
      <c r="F63"/>
      <c r="G63"/>
      <c r="H63"/>
      <c r="I63"/>
    </row>
    <row r="64" spans="1:9" ht="13" hidden="1" outlineLevel="1" x14ac:dyDescent="0.3">
      <c r="A64"/>
      <c r="D64" s="13"/>
      <c r="E64"/>
      <c r="F64"/>
      <c r="G64"/>
      <c r="H64"/>
      <c r="I64"/>
    </row>
    <row r="65" spans="1:9" ht="14" hidden="1" customHeight="1" outlineLevel="1" x14ac:dyDescent="0.3">
      <c r="A65"/>
      <c r="D65" s="13"/>
      <c r="E65"/>
      <c r="F65"/>
      <c r="G65"/>
      <c r="H65"/>
      <c r="I65"/>
    </row>
    <row r="66" spans="1:9" ht="13" hidden="1" outlineLevel="1" x14ac:dyDescent="0.3">
      <c r="A66"/>
      <c r="D66" s="13"/>
      <c r="E66"/>
      <c r="F66"/>
      <c r="G66"/>
      <c r="H66"/>
      <c r="I66"/>
    </row>
    <row r="67" spans="1:9" ht="13.25" hidden="1" customHeight="1" outlineLevel="1" x14ac:dyDescent="0.3">
      <c r="A67"/>
      <c r="D67" s="13"/>
      <c r="E67"/>
      <c r="F67"/>
      <c r="G67"/>
      <c r="H67"/>
      <c r="I67"/>
    </row>
    <row r="68" spans="1:9" ht="13" hidden="1" outlineLevel="1" x14ac:dyDescent="0.3">
      <c r="A68"/>
      <c r="D68" s="13"/>
      <c r="E68"/>
      <c r="F68"/>
      <c r="G68"/>
      <c r="H68"/>
      <c r="I68"/>
    </row>
    <row r="69" spans="1:9" hidden="1" outlineLevel="1" x14ac:dyDescent="0.25">
      <c r="B69" s="5"/>
      <c r="C69" s="5"/>
      <c r="D69" s="5"/>
    </row>
    <row r="70" spans="1:9" hidden="1" outlineLevel="1" x14ac:dyDescent="0.25">
      <c r="B70" s="5"/>
      <c r="C70" s="5"/>
      <c r="D70" s="5"/>
    </row>
    <row r="71" spans="1:9" hidden="1" outlineLevel="1" x14ac:dyDescent="0.25">
      <c r="B71" s="5"/>
      <c r="C71" s="5"/>
      <c r="D71" s="5"/>
    </row>
    <row r="72" spans="1:9" hidden="1" outlineLevel="1" x14ac:dyDescent="0.25"/>
    <row r="73" spans="1:9" hidden="1" outlineLevel="1" x14ac:dyDescent="0.25"/>
    <row r="74" spans="1:9" ht="18.75" customHeight="1" collapsed="1" x14ac:dyDescent="0.45">
      <c r="B74" s="4" t="s">
        <v>25</v>
      </c>
    </row>
    <row r="75" spans="1:9" hidden="1" outlineLevel="1" x14ac:dyDescent="0.25"/>
    <row r="76" spans="1:9" ht="13" hidden="1" outlineLevel="1" x14ac:dyDescent="0.25">
      <c r="B76" s="15" t="s">
        <v>7</v>
      </c>
      <c r="C76" s="15" t="s">
        <v>9</v>
      </c>
      <c r="D76" s="15" t="s">
        <v>10</v>
      </c>
      <c r="F76" s="5" t="s">
        <v>28</v>
      </c>
      <c r="G76" s="16"/>
    </row>
    <row r="77" spans="1:9" ht="13" hidden="1" outlineLevel="1" x14ac:dyDescent="0.3">
      <c r="B77" s="7" t="s">
        <v>11</v>
      </c>
      <c r="C77" s="7" t="s">
        <v>14</v>
      </c>
      <c r="D77" s="8">
        <v>1522</v>
      </c>
      <c r="F77" s="5"/>
      <c r="G77" s="16"/>
    </row>
    <row r="78" spans="1:9" ht="13" hidden="1" outlineLevel="1" x14ac:dyDescent="0.3">
      <c r="B78" s="7" t="s">
        <v>11</v>
      </c>
      <c r="C78" s="7" t="s">
        <v>15</v>
      </c>
      <c r="D78" s="8">
        <v>1589</v>
      </c>
      <c r="F78" s="18" t="s">
        <v>29</v>
      </c>
      <c r="G78" s="17"/>
    </row>
    <row r="79" spans="1:9" ht="33" hidden="1" customHeight="1" outlineLevel="1" x14ac:dyDescent="0.3">
      <c r="B79" s="7" t="s">
        <v>11</v>
      </c>
      <c r="C79" s="7" t="s">
        <v>16</v>
      </c>
      <c r="D79" s="8">
        <v>1829</v>
      </c>
      <c r="F79" s="18" t="s">
        <v>30</v>
      </c>
      <c r="G79" s="17"/>
    </row>
    <row r="80" spans="1:9" ht="29.25" hidden="1" customHeight="1" outlineLevel="1" x14ac:dyDescent="0.3">
      <c r="B80" s="7" t="s">
        <v>11</v>
      </c>
      <c r="C80" s="7" t="s">
        <v>16</v>
      </c>
      <c r="D80" s="8">
        <v>1797</v>
      </c>
    </row>
    <row r="81" spans="2:9" ht="13" hidden="1" outlineLevel="1" x14ac:dyDescent="0.3">
      <c r="B81" s="7" t="s">
        <v>11</v>
      </c>
      <c r="C81" s="7" t="s">
        <v>15</v>
      </c>
      <c r="D81" s="8">
        <v>1744</v>
      </c>
    </row>
    <row r="82" spans="2:9" ht="13.5" hidden="1" outlineLevel="1" thickBot="1" x14ac:dyDescent="0.35">
      <c r="B82" s="7"/>
      <c r="C82" s="7"/>
      <c r="D82" s="11">
        <f>SUBTOTAL(9,JanSales)</f>
        <v>8481</v>
      </c>
    </row>
    <row r="83" spans="2:9" ht="13.5" hidden="1" outlineLevel="1" thickTop="1" x14ac:dyDescent="0.3">
      <c r="B83" s="7" t="s">
        <v>12</v>
      </c>
      <c r="C83" s="7" t="s">
        <v>15</v>
      </c>
      <c r="D83" s="10">
        <v>1868</v>
      </c>
    </row>
    <row r="84" spans="2:9" ht="13" hidden="1" outlineLevel="1" x14ac:dyDescent="0.3">
      <c r="B84" s="7" t="s">
        <v>12</v>
      </c>
      <c r="C84" s="7" t="s">
        <v>17</v>
      </c>
      <c r="D84" s="8">
        <v>1694</v>
      </c>
    </row>
    <row r="85" spans="2:9" ht="13.5" hidden="1" outlineLevel="1" thickBot="1" x14ac:dyDescent="0.35">
      <c r="B85" s="7"/>
      <c r="C85" s="7"/>
      <c r="D85" s="11">
        <f>SUBTOTAL(9,FebSales)</f>
        <v>3562</v>
      </c>
    </row>
    <row r="86" spans="2:9" ht="13.5" hidden="1" outlineLevel="1" thickTop="1" x14ac:dyDescent="0.3">
      <c r="B86" s="7" t="s">
        <v>13</v>
      </c>
      <c r="C86" s="7" t="s">
        <v>17</v>
      </c>
      <c r="D86" s="8">
        <v>1626</v>
      </c>
    </row>
    <row r="87" spans="2:9" ht="13" hidden="1" outlineLevel="1" x14ac:dyDescent="0.3">
      <c r="B87" s="7" t="s">
        <v>13</v>
      </c>
      <c r="C87" s="7" t="s">
        <v>15</v>
      </c>
      <c r="D87" s="8">
        <v>1781</v>
      </c>
    </row>
    <row r="88" spans="2:9" ht="13.5" hidden="1" outlineLevel="1" thickBot="1" x14ac:dyDescent="0.35">
      <c r="B88" s="7"/>
      <c r="C88" s="7"/>
      <c r="D88" s="11">
        <f>SUBTOTAL(9,MarSales)</f>
        <v>3407</v>
      </c>
    </row>
    <row r="89" spans="2:9" ht="13.5" hidden="1" outlineLevel="1" thickTop="1" x14ac:dyDescent="0.3">
      <c r="B89" s="7" t="s">
        <v>4</v>
      </c>
      <c r="C89" s="7" t="s">
        <v>16</v>
      </c>
      <c r="D89" s="8">
        <v>1279</v>
      </c>
    </row>
    <row r="90" spans="2:9" ht="13" hidden="1" outlineLevel="1" x14ac:dyDescent="0.3">
      <c r="B90" s="7" t="s">
        <v>4</v>
      </c>
      <c r="C90" s="7" t="s">
        <v>14</v>
      </c>
      <c r="D90" s="8">
        <v>1684</v>
      </c>
    </row>
    <row r="91" spans="2:9" ht="13" hidden="1" outlineLevel="1" x14ac:dyDescent="0.3">
      <c r="B91" s="7"/>
      <c r="C91" s="7"/>
      <c r="D91" s="9">
        <f>SUBTOTAL(9,AprilSales)</f>
        <v>2963</v>
      </c>
    </row>
    <row r="92" spans="2:9" hidden="1" outlineLevel="1" x14ac:dyDescent="0.25"/>
    <row r="93" spans="2:9" ht="13" hidden="1" outlineLevel="1" x14ac:dyDescent="0.3">
      <c r="D93" s="16"/>
      <c r="E93" s="16"/>
      <c r="F93"/>
      <c r="G93"/>
      <c r="H93"/>
    </row>
    <row r="94" spans="2:9" ht="13" hidden="1" outlineLevel="1" x14ac:dyDescent="0.3">
      <c r="D94" s="16"/>
      <c r="E94" s="16"/>
      <c r="F94"/>
      <c r="G94"/>
      <c r="H94"/>
    </row>
    <row r="95" spans="2:9" ht="13" hidden="1" outlineLevel="1" x14ac:dyDescent="0.3">
      <c r="E95"/>
      <c r="F95"/>
      <c r="G95"/>
      <c r="H95"/>
      <c r="I95"/>
    </row>
    <row r="96" spans="2:9" ht="13" hidden="1" outlineLevel="1" x14ac:dyDescent="0.3">
      <c r="E96"/>
      <c r="F96"/>
      <c r="G96"/>
      <c r="H96"/>
      <c r="I96"/>
    </row>
    <row r="97" hidden="1" outlineLevel="1" x14ac:dyDescent="0.25"/>
    <row r="98" collapsed="1" x14ac:dyDescent="0.25"/>
  </sheetData>
  <autoFilter ref="B44:D55"/>
  <mergeCells count="2">
    <mergeCell ref="B8:D9"/>
    <mergeCell ref="B41:D42"/>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hisWorkbook.Send_To_1A">
                <anchor moveWithCells="1" sizeWithCells="1">
                  <from>
                    <xdr:col>1</xdr:col>
                    <xdr:colOff>571500</xdr:colOff>
                    <xdr:row>24</xdr:row>
                    <xdr:rowOff>152400</xdr:rowOff>
                  </from>
                  <to>
                    <xdr:col>2</xdr:col>
                    <xdr:colOff>749300</xdr:colOff>
                    <xdr:row>28</xdr:row>
                    <xdr:rowOff>38100</xdr:rowOff>
                  </to>
                </anchor>
              </controlPr>
            </control>
          </mc:Choice>
        </mc:AlternateContent>
        <mc:AlternateContent xmlns:mc="http://schemas.openxmlformats.org/markup-compatibility/2006">
          <mc:Choice Requires="x14">
            <control shapeId="1029" r:id="rId5" name="Button 5">
              <controlPr defaultSize="0" print="0" autoFill="0" autoPict="0" macro="[0]!ThisWorkbook.Send_To_1B">
                <anchor moveWithCells="1" sizeWithCells="1">
                  <from>
                    <xdr:col>1</xdr:col>
                    <xdr:colOff>685800</xdr:colOff>
                    <xdr:row>58</xdr:row>
                    <xdr:rowOff>88900</xdr:rowOff>
                  </from>
                  <to>
                    <xdr:col>2</xdr:col>
                    <xdr:colOff>863600</xdr:colOff>
                    <xdr:row>61</xdr:row>
                    <xdr:rowOff>139700</xdr:rowOff>
                  </to>
                </anchor>
              </controlPr>
            </control>
          </mc:Choice>
        </mc:AlternateContent>
        <mc:AlternateContent xmlns:mc="http://schemas.openxmlformats.org/markup-compatibility/2006">
          <mc:Choice Requires="x14">
            <control shapeId="1031" r:id="rId6" name="Button 7">
              <controlPr defaultSize="0" print="0" autoFill="0" autoPict="0" macro="[0]!ThisWorkbook.Send_To_2">
                <anchor moveWithCells="1" sizeWithCells="1">
                  <from>
                    <xdr:col>1</xdr:col>
                    <xdr:colOff>469900</xdr:colOff>
                    <xdr:row>92</xdr:row>
                    <xdr:rowOff>101600</xdr:rowOff>
                  </from>
                  <to>
                    <xdr:col>2</xdr:col>
                    <xdr:colOff>647700</xdr:colOff>
                    <xdr:row>95</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35"/>
  <sheetViews>
    <sheetView showGridLines="0" topLeftCell="A20" workbookViewId="0"/>
  </sheetViews>
  <sheetFormatPr defaultColWidth="9.44140625" defaultRowHeight="12.5" outlineLevelRow="1" x14ac:dyDescent="0.25"/>
  <cols>
    <col min="1" max="1" width="9.44140625" style="1"/>
    <col min="2" max="4" width="29.5546875" style="1" customWidth="1"/>
    <col min="5" max="5" width="25.44140625" style="1" customWidth="1"/>
    <col min="6" max="6" width="34.21875" style="1" customWidth="1"/>
    <col min="7" max="7" width="29.44140625" style="1" customWidth="1"/>
    <col min="8" max="8" width="15.44140625" style="1" bestFit="1" customWidth="1"/>
    <col min="9" max="9" width="14.44140625" style="1" bestFit="1" customWidth="1"/>
    <col min="10" max="10" width="15.77734375" style="1" bestFit="1" customWidth="1"/>
    <col min="11" max="11" width="14.44140625" style="1" bestFit="1" customWidth="1"/>
    <col min="12" max="16384" width="9.44140625" style="1"/>
  </cols>
  <sheetData>
    <row r="1" spans="1:16" ht="13" x14ac:dyDescent="0.3">
      <c r="A1" s="2" t="str">
        <f>'Cover Page'!A1</f>
        <v>Problem Solving with Excel</v>
      </c>
    </row>
    <row r="2" spans="1:16" ht="13" x14ac:dyDescent="0.3">
      <c r="A2" s="2" t="str">
        <f>'Cover Page'!A2</f>
        <v>Week 1</v>
      </c>
    </row>
    <row r="3" spans="1:16" ht="13" x14ac:dyDescent="0.3">
      <c r="A3" s="2" t="str">
        <f>'Cover Page'!A3</f>
        <v>Subtotal</v>
      </c>
    </row>
    <row r="4" spans="1:16" ht="13" x14ac:dyDescent="0.3">
      <c r="A4" s="2" t="str">
        <f ca="1">MID(CELL("Filename",I7),SEARCH("]",CELL("Filename",I7),1)+1,100)</f>
        <v>Section 1 - Instruction (ANS)</v>
      </c>
    </row>
    <row r="5" spans="1:16" x14ac:dyDescent="0.25">
      <c r="P5" s="5"/>
    </row>
    <row r="7" spans="1:16" ht="18.5" x14ac:dyDescent="0.45">
      <c r="B7" s="4" t="s">
        <v>23</v>
      </c>
    </row>
    <row r="8" spans="1:16" ht="13" outlineLevel="1" x14ac:dyDescent="0.3">
      <c r="B8" s="22" t="s">
        <v>21</v>
      </c>
      <c r="C8" s="22"/>
      <c r="D8" s="22"/>
      <c r="F8"/>
      <c r="G8"/>
      <c r="H8"/>
    </row>
    <row r="9" spans="1:16" ht="42" customHeight="1" outlineLevel="1" x14ac:dyDescent="0.3">
      <c r="B9" s="22"/>
      <c r="C9" s="22"/>
      <c r="D9" s="22"/>
      <c r="E9"/>
      <c r="F9"/>
      <c r="G9"/>
      <c r="H9"/>
    </row>
    <row r="10" spans="1:16" ht="13" outlineLevel="1" x14ac:dyDescent="0.3">
      <c r="B10"/>
      <c r="C10"/>
      <c r="D10"/>
      <c r="E10"/>
      <c r="F10"/>
      <c r="G10"/>
      <c r="H10"/>
    </row>
    <row r="11" spans="1:16" ht="13" outlineLevel="1" x14ac:dyDescent="0.3">
      <c r="B11" s="15" t="s">
        <v>7</v>
      </c>
      <c r="C11" s="15" t="s">
        <v>9</v>
      </c>
      <c r="D11" s="15" t="s">
        <v>10</v>
      </c>
      <c r="E11"/>
      <c r="H11"/>
    </row>
    <row r="12" spans="1:16" ht="13" outlineLevel="1" x14ac:dyDescent="0.3">
      <c r="B12" s="7" t="s">
        <v>11</v>
      </c>
      <c r="C12" s="7" t="s">
        <v>14</v>
      </c>
      <c r="D12" s="8">
        <v>1522</v>
      </c>
      <c r="E12"/>
      <c r="H12"/>
    </row>
    <row r="13" spans="1:16" ht="13" outlineLevel="1" x14ac:dyDescent="0.3">
      <c r="B13" s="7" t="s">
        <v>11</v>
      </c>
      <c r="C13" s="7" t="s">
        <v>15</v>
      </c>
      <c r="D13" s="8">
        <v>1589</v>
      </c>
      <c r="E13"/>
      <c r="H13"/>
    </row>
    <row r="14" spans="1:16" ht="13" outlineLevel="1" x14ac:dyDescent="0.3">
      <c r="B14" s="7" t="s">
        <v>11</v>
      </c>
      <c r="C14" s="7" t="s">
        <v>16</v>
      </c>
      <c r="D14" s="8">
        <v>1829</v>
      </c>
      <c r="E14"/>
      <c r="H14"/>
    </row>
    <row r="15" spans="1:16" ht="13" outlineLevel="1" x14ac:dyDescent="0.3">
      <c r="B15" s="7" t="s">
        <v>11</v>
      </c>
      <c r="C15" s="7" t="s">
        <v>16</v>
      </c>
      <c r="D15" s="8">
        <v>1797</v>
      </c>
      <c r="E15"/>
      <c r="H15"/>
    </row>
    <row r="16" spans="1:16" ht="13" outlineLevel="1" x14ac:dyDescent="0.3">
      <c r="B16" s="7" t="s">
        <v>11</v>
      </c>
      <c r="C16" s="7" t="s">
        <v>15</v>
      </c>
      <c r="D16" s="8">
        <v>1744</v>
      </c>
      <c r="E16"/>
      <c r="H16"/>
    </row>
    <row r="17" spans="2:8" ht="13" outlineLevel="1" x14ac:dyDescent="0.3">
      <c r="B17" s="7" t="s">
        <v>12</v>
      </c>
      <c r="C17" s="7" t="s">
        <v>15</v>
      </c>
      <c r="D17" s="8">
        <v>1868</v>
      </c>
      <c r="E17"/>
      <c r="H17"/>
    </row>
    <row r="18" spans="2:8" ht="13" outlineLevel="1" x14ac:dyDescent="0.3">
      <c r="B18" s="7" t="s">
        <v>12</v>
      </c>
      <c r="C18" s="7" t="s">
        <v>17</v>
      </c>
      <c r="D18" s="8">
        <v>1694</v>
      </c>
      <c r="E18"/>
      <c r="H18"/>
    </row>
    <row r="19" spans="2:8" ht="13" outlineLevel="1" x14ac:dyDescent="0.3">
      <c r="B19" s="7" t="s">
        <v>13</v>
      </c>
      <c r="C19" s="7" t="s">
        <v>17</v>
      </c>
      <c r="D19" s="8">
        <v>1626</v>
      </c>
      <c r="E19"/>
      <c r="H19"/>
    </row>
    <row r="20" spans="2:8" ht="13" outlineLevel="1" x14ac:dyDescent="0.3">
      <c r="B20" s="7" t="s">
        <v>13</v>
      </c>
      <c r="C20" s="7" t="s">
        <v>15</v>
      </c>
      <c r="D20" s="8">
        <v>1781</v>
      </c>
      <c r="E20"/>
      <c r="H20"/>
    </row>
    <row r="21" spans="2:8" ht="13" outlineLevel="1" x14ac:dyDescent="0.3">
      <c r="B21" s="7" t="s">
        <v>4</v>
      </c>
      <c r="C21" s="7" t="s">
        <v>16</v>
      </c>
      <c r="D21" s="8">
        <v>1279</v>
      </c>
      <c r="E21"/>
      <c r="H21"/>
    </row>
    <row r="22" spans="2:8" ht="13" outlineLevel="1" x14ac:dyDescent="0.3">
      <c r="B22" s="7" t="s">
        <v>4</v>
      </c>
      <c r="C22" s="7" t="s">
        <v>14</v>
      </c>
      <c r="D22" s="8">
        <v>1684</v>
      </c>
      <c r="E22"/>
      <c r="H22"/>
    </row>
    <row r="23" spans="2:8" ht="12" customHeight="1" outlineLevel="1" x14ac:dyDescent="0.3">
      <c r="B23"/>
      <c r="C23"/>
      <c r="D23"/>
      <c r="E23"/>
      <c r="F23"/>
      <c r="G23"/>
      <c r="H23"/>
    </row>
    <row r="24" spans="2:8" ht="12" customHeight="1" outlineLevel="1" x14ac:dyDescent="0.3">
      <c r="B24" s="5" t="s">
        <v>27</v>
      </c>
      <c r="C24" s="16"/>
      <c r="D24"/>
      <c r="E24"/>
      <c r="F24"/>
      <c r="G24"/>
      <c r="H24"/>
    </row>
    <row r="25" spans="2:8" ht="12" customHeight="1" outlineLevel="1" x14ac:dyDescent="0.3">
      <c r="B25" s="5"/>
      <c r="C25" s="16"/>
      <c r="D25"/>
      <c r="E25"/>
      <c r="F25"/>
      <c r="G25"/>
      <c r="H25"/>
    </row>
    <row r="26" spans="2:8" ht="12" customHeight="1" outlineLevel="1" x14ac:dyDescent="0.3">
      <c r="B26" s="15" t="s">
        <v>18</v>
      </c>
      <c r="C26" s="17">
        <f>SUM(SalesA)</f>
        <v>18413</v>
      </c>
      <c r="D26"/>
      <c r="E26"/>
      <c r="F26"/>
      <c r="G26"/>
      <c r="H26"/>
    </row>
    <row r="27" spans="2:8" ht="12" customHeight="1" outlineLevel="1" x14ac:dyDescent="0.3">
      <c r="B27" s="15" t="s">
        <v>19</v>
      </c>
      <c r="C27" s="17">
        <f>AVERAGE(SalesA)</f>
        <v>1673.909090909091</v>
      </c>
      <c r="D27"/>
      <c r="E27"/>
      <c r="F27"/>
      <c r="G27"/>
      <c r="H27"/>
    </row>
    <row r="28" spans="2:8" ht="12" customHeight="1" outlineLevel="1" x14ac:dyDescent="0.3">
      <c r="B28" s="15" t="s">
        <v>20</v>
      </c>
      <c r="C28" s="20">
        <f>COUNT(SalesA)</f>
        <v>11</v>
      </c>
      <c r="D28"/>
      <c r="E28"/>
      <c r="F28"/>
      <c r="G28"/>
      <c r="H28"/>
    </row>
    <row r="29" spans="2:8" ht="12" customHeight="1" outlineLevel="1" x14ac:dyDescent="0.3">
      <c r="D29"/>
      <c r="E29"/>
      <c r="F29"/>
      <c r="G29"/>
      <c r="H29"/>
    </row>
    <row r="30" spans="2:8" ht="12" customHeight="1" outlineLevel="1" x14ac:dyDescent="0.3">
      <c r="B30" s="5" t="s">
        <v>26</v>
      </c>
      <c r="C30" s="16"/>
      <c r="D30"/>
      <c r="E30"/>
      <c r="F30"/>
      <c r="G30"/>
      <c r="H30"/>
    </row>
    <row r="31" spans="2:8" ht="12" customHeight="1" outlineLevel="1" x14ac:dyDescent="0.3">
      <c r="B31" s="5"/>
      <c r="C31" s="16"/>
      <c r="D31"/>
      <c r="E31"/>
      <c r="F31"/>
      <c r="G31"/>
      <c r="H31"/>
    </row>
    <row r="32" spans="2:8" ht="12" customHeight="1" outlineLevel="1" x14ac:dyDescent="0.3">
      <c r="B32" s="15" t="s">
        <v>18</v>
      </c>
      <c r="C32" s="17">
        <f>SUBTOTAL(9,SalesA)</f>
        <v>18413</v>
      </c>
      <c r="D32"/>
      <c r="E32"/>
      <c r="F32"/>
      <c r="G32"/>
      <c r="H32"/>
    </row>
    <row r="33" spans="2:9" ht="12" customHeight="1" outlineLevel="1" x14ac:dyDescent="0.3">
      <c r="B33" s="15" t="s">
        <v>19</v>
      </c>
      <c r="C33" s="17">
        <f>SUBTOTAL(1,SalesA)</f>
        <v>1673.909090909091</v>
      </c>
      <c r="D33"/>
      <c r="E33"/>
      <c r="F33"/>
      <c r="G33"/>
      <c r="H33"/>
    </row>
    <row r="34" spans="2:9" ht="12" customHeight="1" outlineLevel="1" x14ac:dyDescent="0.3">
      <c r="B34" s="15" t="s">
        <v>20</v>
      </c>
      <c r="C34" s="20">
        <f>SUBTOTAL(2,SalesA)</f>
        <v>11</v>
      </c>
      <c r="D34"/>
      <c r="E34"/>
      <c r="F34"/>
      <c r="G34"/>
      <c r="H34"/>
    </row>
    <row r="35" spans="2:9" ht="12" customHeight="1" outlineLevel="1" x14ac:dyDescent="0.3">
      <c r="B35"/>
      <c r="C35"/>
      <c r="D35"/>
      <c r="E35"/>
      <c r="F35"/>
      <c r="G35"/>
      <c r="H35"/>
    </row>
    <row r="36" spans="2:9" ht="12" customHeight="1" outlineLevel="1" x14ac:dyDescent="0.3">
      <c r="B36"/>
      <c r="C36"/>
      <c r="D36"/>
      <c r="E36"/>
      <c r="F36"/>
      <c r="G36"/>
      <c r="H36"/>
    </row>
    <row r="37" spans="2:9" ht="12" customHeight="1" outlineLevel="1" x14ac:dyDescent="0.3">
      <c r="B37"/>
      <c r="C37"/>
      <c r="D37"/>
      <c r="E37"/>
      <c r="F37"/>
      <c r="G37"/>
      <c r="H37"/>
    </row>
    <row r="38" spans="2:9" ht="12" customHeight="1" outlineLevel="1" x14ac:dyDescent="0.3">
      <c r="B38"/>
      <c r="C38"/>
      <c r="D38"/>
      <c r="E38"/>
      <c r="F38"/>
      <c r="G38"/>
      <c r="H38"/>
    </row>
    <row r="39" spans="2:9" ht="12" customHeight="1" outlineLevel="1" x14ac:dyDescent="0.3">
      <c r="B39"/>
      <c r="C39"/>
      <c r="D39"/>
      <c r="E39"/>
      <c r="F39"/>
      <c r="G39"/>
      <c r="H39"/>
    </row>
    <row r="40" spans="2:9" ht="12" customHeight="1" outlineLevel="1" x14ac:dyDescent="0.3">
      <c r="B40"/>
      <c r="C40"/>
      <c r="D40"/>
      <c r="E40"/>
      <c r="F40"/>
      <c r="G40"/>
      <c r="H40"/>
    </row>
    <row r="41" spans="2:9" ht="12" customHeight="1" outlineLevel="1" x14ac:dyDescent="0.3">
      <c r="B41"/>
      <c r="C41"/>
      <c r="D41"/>
      <c r="E41"/>
      <c r="F41"/>
      <c r="G41"/>
      <c r="H41"/>
    </row>
    <row r="42" spans="2:9" ht="12" customHeight="1" outlineLevel="1" x14ac:dyDescent="0.3">
      <c r="B42"/>
      <c r="C42"/>
      <c r="D42"/>
      <c r="E42"/>
      <c r="F42"/>
      <c r="G42"/>
      <c r="H42"/>
    </row>
    <row r="43" spans="2:9" ht="12" customHeight="1" outlineLevel="1" x14ac:dyDescent="0.3">
      <c r="B43"/>
      <c r="C43"/>
      <c r="D43"/>
      <c r="E43"/>
      <c r="F43"/>
      <c r="G43"/>
      <c r="H43"/>
    </row>
    <row r="44" spans="2:9" ht="13" outlineLevel="1" x14ac:dyDescent="0.3">
      <c r="D44" s="16"/>
      <c r="E44" s="16"/>
      <c r="F44"/>
      <c r="G44"/>
      <c r="H44"/>
    </row>
    <row r="45" spans="2:9" ht="13" outlineLevel="1" x14ac:dyDescent="0.3">
      <c r="D45" s="16"/>
      <c r="E45" s="16"/>
      <c r="F45"/>
      <c r="G45"/>
      <c r="H45"/>
    </row>
    <row r="46" spans="2:9" ht="13" outlineLevel="1" x14ac:dyDescent="0.3">
      <c r="E46"/>
      <c r="F46"/>
      <c r="G46"/>
      <c r="H46"/>
      <c r="I46"/>
    </row>
    <row r="47" spans="2:9" ht="13" outlineLevel="1" x14ac:dyDescent="0.3">
      <c r="E47"/>
      <c r="F47"/>
      <c r="G47"/>
      <c r="H47"/>
      <c r="I47"/>
    </row>
    <row r="48" spans="2:9" ht="13" outlineLevel="1" x14ac:dyDescent="0.3">
      <c r="E48"/>
      <c r="F48"/>
      <c r="G48"/>
      <c r="H48" s="12"/>
      <c r="I48"/>
    </row>
    <row r="49" spans="1:9" ht="13" outlineLevel="1" x14ac:dyDescent="0.3">
      <c r="E49"/>
      <c r="F49"/>
      <c r="G49"/>
      <c r="H49"/>
      <c r="I49"/>
    </row>
    <row r="50" spans="1:9" ht="13" outlineLevel="1" x14ac:dyDescent="0.3">
      <c r="D50"/>
      <c r="E50"/>
      <c r="F50"/>
      <c r="G50"/>
      <c r="H50"/>
      <c r="I50"/>
    </row>
    <row r="51" spans="1:9" ht="13" outlineLevel="1" x14ac:dyDescent="0.3">
      <c r="A51"/>
      <c r="D51" s="13"/>
      <c r="E51"/>
      <c r="F51"/>
      <c r="G51"/>
      <c r="H51"/>
      <c r="I51"/>
    </row>
    <row r="52" spans="1:9" ht="14" customHeight="1" outlineLevel="1" x14ac:dyDescent="0.3">
      <c r="A52"/>
      <c r="D52" s="13"/>
      <c r="E52"/>
      <c r="F52"/>
      <c r="G52"/>
      <c r="H52"/>
      <c r="I52"/>
    </row>
    <row r="53" spans="1:9" ht="13" outlineLevel="1" x14ac:dyDescent="0.3">
      <c r="A53"/>
      <c r="D53" s="13"/>
      <c r="E53"/>
      <c r="F53"/>
      <c r="G53"/>
      <c r="H53"/>
      <c r="I53"/>
    </row>
    <row r="54" spans="1:9" ht="13.25" customHeight="1" outlineLevel="1" x14ac:dyDescent="0.3">
      <c r="A54"/>
      <c r="D54" s="13"/>
      <c r="E54"/>
      <c r="F54"/>
      <c r="G54"/>
      <c r="H54"/>
      <c r="I54"/>
    </row>
    <row r="55" spans="1:9" ht="13" outlineLevel="1" x14ac:dyDescent="0.3">
      <c r="A55"/>
      <c r="D55" s="13"/>
      <c r="E55"/>
      <c r="F55"/>
      <c r="G55"/>
      <c r="H55"/>
      <c r="I55"/>
    </row>
    <row r="56" spans="1:9" ht="13" outlineLevel="1" x14ac:dyDescent="0.3">
      <c r="A56"/>
      <c r="B56" s="13"/>
      <c r="C56" s="13"/>
      <c r="D56" s="13"/>
      <c r="E56"/>
      <c r="F56"/>
      <c r="G56"/>
      <c r="H56"/>
      <c r="I56"/>
    </row>
    <row r="57" spans="1:9" ht="13" outlineLevel="1" x14ac:dyDescent="0.3">
      <c r="A57"/>
      <c r="B57" s="13"/>
      <c r="C57" s="13"/>
      <c r="D57" s="13"/>
      <c r="E57"/>
      <c r="F57"/>
      <c r="G57"/>
      <c r="H57"/>
      <c r="I57"/>
    </row>
    <row r="58" spans="1:9" ht="13" outlineLevel="1" x14ac:dyDescent="0.3">
      <c r="A58"/>
      <c r="B58" s="13"/>
      <c r="C58" s="13"/>
      <c r="D58" s="13"/>
      <c r="E58"/>
      <c r="F58"/>
      <c r="G58"/>
      <c r="H58"/>
      <c r="I58"/>
    </row>
    <row r="59" spans="1:9" ht="13" outlineLevel="1" x14ac:dyDescent="0.3">
      <c r="A59"/>
      <c r="B59" s="13"/>
      <c r="C59" s="13"/>
      <c r="D59" s="13"/>
      <c r="E59"/>
      <c r="F59"/>
      <c r="G59"/>
      <c r="H59"/>
      <c r="I59"/>
    </row>
    <row r="60" spans="1:9" ht="13" outlineLevel="1" x14ac:dyDescent="0.3">
      <c r="A60"/>
      <c r="B60"/>
      <c r="C60"/>
      <c r="D60"/>
      <c r="E60"/>
      <c r="F60"/>
      <c r="G60"/>
      <c r="H60"/>
    </row>
    <row r="61" spans="1:9" ht="18.5" x14ac:dyDescent="0.45">
      <c r="A61"/>
      <c r="B61" s="4" t="s">
        <v>24</v>
      </c>
      <c r="E61"/>
      <c r="F61"/>
      <c r="G61"/>
      <c r="H61"/>
    </row>
    <row r="62" spans="1:9" ht="13" outlineLevel="1" x14ac:dyDescent="0.3">
      <c r="A62"/>
      <c r="B62" s="22" t="s">
        <v>22</v>
      </c>
      <c r="C62" s="22"/>
      <c r="D62" s="22"/>
      <c r="E62"/>
      <c r="F62"/>
      <c r="G62"/>
      <c r="H62"/>
    </row>
    <row r="63" spans="1:9" ht="18.75" customHeight="1" outlineLevel="1" x14ac:dyDescent="0.3">
      <c r="A63"/>
      <c r="B63" s="22"/>
      <c r="C63" s="22"/>
      <c r="D63" s="22"/>
      <c r="E63"/>
      <c r="F63"/>
      <c r="G63"/>
      <c r="H63"/>
    </row>
    <row r="64" spans="1:9" ht="13" outlineLevel="1" x14ac:dyDescent="0.3">
      <c r="A64"/>
      <c r="B64"/>
      <c r="C64"/>
      <c r="D64"/>
      <c r="E64"/>
      <c r="H64"/>
    </row>
    <row r="65" spans="1:8" ht="13" outlineLevel="1" x14ac:dyDescent="0.3">
      <c r="A65"/>
      <c r="B65" s="15" t="s">
        <v>7</v>
      </c>
      <c r="C65" s="15" t="s">
        <v>9</v>
      </c>
      <c r="D65" s="15" t="s">
        <v>10</v>
      </c>
      <c r="E65"/>
      <c r="H65"/>
    </row>
    <row r="66" spans="1:8" ht="13" outlineLevel="1" x14ac:dyDescent="0.3">
      <c r="A66"/>
      <c r="B66" s="7" t="s">
        <v>11</v>
      </c>
      <c r="C66" s="7" t="s">
        <v>14</v>
      </c>
      <c r="D66" s="8">
        <v>1522</v>
      </c>
      <c r="E66"/>
      <c r="H66"/>
    </row>
    <row r="67" spans="1:8" ht="13" outlineLevel="1" x14ac:dyDescent="0.3">
      <c r="A67"/>
      <c r="B67" s="7" t="s">
        <v>11</v>
      </c>
      <c r="C67" s="7" t="s">
        <v>15</v>
      </c>
      <c r="D67" s="8">
        <v>1589</v>
      </c>
      <c r="E67"/>
    </row>
    <row r="68" spans="1:8" ht="13" outlineLevel="1" x14ac:dyDescent="0.3">
      <c r="A68"/>
      <c r="B68" s="7" t="s">
        <v>11</v>
      </c>
      <c r="C68" s="7" t="s">
        <v>16</v>
      </c>
      <c r="D68" s="8">
        <v>1829</v>
      </c>
      <c r="E68"/>
    </row>
    <row r="69" spans="1:8" ht="13" outlineLevel="1" x14ac:dyDescent="0.3">
      <c r="B69" s="7" t="s">
        <v>11</v>
      </c>
      <c r="C69" s="7" t="s">
        <v>16</v>
      </c>
      <c r="D69" s="8">
        <v>1797</v>
      </c>
    </row>
    <row r="70" spans="1:8" ht="13" outlineLevel="1" x14ac:dyDescent="0.3">
      <c r="B70" s="7" t="s">
        <v>11</v>
      </c>
      <c r="C70" s="7" t="s">
        <v>15</v>
      </c>
      <c r="D70" s="8">
        <v>1744</v>
      </c>
    </row>
    <row r="71" spans="1:8" ht="13" outlineLevel="1" x14ac:dyDescent="0.3">
      <c r="B71" s="7" t="s">
        <v>12</v>
      </c>
      <c r="C71" s="7" t="s">
        <v>15</v>
      </c>
      <c r="D71" s="8">
        <v>1868</v>
      </c>
    </row>
    <row r="72" spans="1:8" ht="13" outlineLevel="1" x14ac:dyDescent="0.3">
      <c r="B72" s="7" t="s">
        <v>12</v>
      </c>
      <c r="C72" s="7" t="s">
        <v>17</v>
      </c>
      <c r="D72" s="8">
        <v>1694</v>
      </c>
    </row>
    <row r="73" spans="1:8" ht="13" outlineLevel="1" x14ac:dyDescent="0.3">
      <c r="B73" s="7" t="s">
        <v>13</v>
      </c>
      <c r="C73" s="7" t="s">
        <v>17</v>
      </c>
      <c r="D73" s="8">
        <v>1626</v>
      </c>
    </row>
    <row r="74" spans="1:8" ht="13" outlineLevel="1" x14ac:dyDescent="0.3">
      <c r="B74" s="7" t="s">
        <v>13</v>
      </c>
      <c r="C74" s="7" t="s">
        <v>15</v>
      </c>
      <c r="D74" s="8">
        <v>1781</v>
      </c>
    </row>
    <row r="75" spans="1:8" ht="13" outlineLevel="1" x14ac:dyDescent="0.3">
      <c r="B75" s="7" t="s">
        <v>4</v>
      </c>
      <c r="C75" s="7" t="s">
        <v>16</v>
      </c>
      <c r="D75" s="8">
        <v>1279</v>
      </c>
    </row>
    <row r="76" spans="1:8" ht="13" outlineLevel="1" x14ac:dyDescent="0.3">
      <c r="B76" s="7" t="s">
        <v>4</v>
      </c>
      <c r="C76" s="7" t="s">
        <v>14</v>
      </c>
      <c r="D76" s="8">
        <v>1684</v>
      </c>
    </row>
    <row r="77" spans="1:8" ht="14" customHeight="1" outlineLevel="1" x14ac:dyDescent="0.3">
      <c r="B77"/>
      <c r="C77"/>
      <c r="D77"/>
    </row>
    <row r="78" spans="1:8" ht="14" customHeight="1" outlineLevel="1" x14ac:dyDescent="0.3">
      <c r="B78"/>
      <c r="C78"/>
      <c r="D78"/>
    </row>
    <row r="79" spans="1:8" ht="14" customHeight="1" outlineLevel="1" x14ac:dyDescent="0.3">
      <c r="B79"/>
      <c r="C79"/>
      <c r="D79"/>
    </row>
    <row r="80" spans="1:8" ht="14" customHeight="1" outlineLevel="1" x14ac:dyDescent="0.3">
      <c r="B80" s="5" t="s">
        <v>27</v>
      </c>
      <c r="C80" s="16"/>
      <c r="D80"/>
    </row>
    <row r="81" spans="2:8" ht="14" customHeight="1" outlineLevel="1" x14ac:dyDescent="0.3">
      <c r="B81" s="5"/>
      <c r="C81" s="16"/>
      <c r="D81"/>
    </row>
    <row r="82" spans="2:8" ht="14" customHeight="1" outlineLevel="1" x14ac:dyDescent="0.3">
      <c r="B82" s="15" t="s">
        <v>18</v>
      </c>
      <c r="C82" s="17">
        <f>SUM(SalesB)</f>
        <v>18413</v>
      </c>
      <c r="D82"/>
    </row>
    <row r="83" spans="2:8" ht="14" customHeight="1" outlineLevel="1" x14ac:dyDescent="0.3">
      <c r="B83" s="15" t="s">
        <v>19</v>
      </c>
      <c r="C83" s="17">
        <f>AVERAGE(SalesB)</f>
        <v>1673.909090909091</v>
      </c>
      <c r="D83"/>
    </row>
    <row r="84" spans="2:8" ht="14" customHeight="1" outlineLevel="1" x14ac:dyDescent="0.3">
      <c r="B84" s="15" t="s">
        <v>20</v>
      </c>
      <c r="C84" s="20">
        <f>COUNT(SalesB)</f>
        <v>11</v>
      </c>
      <c r="D84"/>
    </row>
    <row r="85" spans="2:8" ht="14" customHeight="1" outlineLevel="1" x14ac:dyDescent="0.3">
      <c r="D85"/>
    </row>
    <row r="86" spans="2:8" ht="14" customHeight="1" outlineLevel="1" x14ac:dyDescent="0.3">
      <c r="B86" s="5" t="s">
        <v>26</v>
      </c>
      <c r="C86" s="16"/>
      <c r="D86"/>
    </row>
    <row r="87" spans="2:8" ht="13" outlineLevel="1" x14ac:dyDescent="0.3">
      <c r="B87" s="5"/>
      <c r="C87" s="16"/>
      <c r="D87"/>
    </row>
    <row r="88" spans="2:8" ht="13" outlineLevel="1" x14ac:dyDescent="0.3">
      <c r="B88" s="15" t="s">
        <v>18</v>
      </c>
      <c r="C88" s="17">
        <f>SUBTOTAL(9,SalesB)</f>
        <v>18413</v>
      </c>
      <c r="D88"/>
    </row>
    <row r="89" spans="2:8" ht="13" outlineLevel="1" x14ac:dyDescent="0.3">
      <c r="B89" s="15" t="s">
        <v>19</v>
      </c>
      <c r="C89" s="17">
        <f>SUBTOTAL(1,SalesB)</f>
        <v>1673.909090909091</v>
      </c>
      <c r="D89"/>
    </row>
    <row r="90" spans="2:8" ht="13" outlineLevel="1" x14ac:dyDescent="0.3">
      <c r="B90" s="15" t="s">
        <v>20</v>
      </c>
      <c r="C90" s="20">
        <f>SUBTOTAL(2,SalesB)</f>
        <v>11</v>
      </c>
      <c r="D90"/>
    </row>
    <row r="91" spans="2:8" ht="13" outlineLevel="1" x14ac:dyDescent="0.3">
      <c r="B91"/>
      <c r="C91"/>
      <c r="D91"/>
    </row>
    <row r="92" spans="2:8" ht="13" outlineLevel="1" x14ac:dyDescent="0.3">
      <c r="B92"/>
      <c r="C92"/>
      <c r="D92"/>
    </row>
    <row r="93" spans="2:8" ht="13" outlineLevel="1" x14ac:dyDescent="0.3">
      <c r="B93"/>
      <c r="C93"/>
      <c r="D93"/>
    </row>
    <row r="94" spans="2:8" ht="13" outlineLevel="1" x14ac:dyDescent="0.3">
      <c r="B94"/>
      <c r="C94"/>
      <c r="D94"/>
    </row>
    <row r="95" spans="2:8" ht="13" outlineLevel="1" x14ac:dyDescent="0.3">
      <c r="B95"/>
      <c r="C95"/>
      <c r="D95"/>
    </row>
    <row r="96" spans="2:8" ht="13" outlineLevel="1" x14ac:dyDescent="0.3">
      <c r="D96" s="16"/>
      <c r="E96" s="16"/>
      <c r="F96"/>
      <c r="G96"/>
      <c r="H96"/>
    </row>
    <row r="97" spans="1:9" ht="13" outlineLevel="1" x14ac:dyDescent="0.3">
      <c r="D97" s="16"/>
      <c r="E97" s="16"/>
      <c r="F97"/>
      <c r="G97"/>
      <c r="H97"/>
    </row>
    <row r="98" spans="1:9" ht="13" outlineLevel="1" x14ac:dyDescent="0.3">
      <c r="E98"/>
      <c r="F98"/>
      <c r="G98"/>
      <c r="H98"/>
      <c r="I98"/>
    </row>
    <row r="99" spans="1:9" ht="13" outlineLevel="1" x14ac:dyDescent="0.3">
      <c r="E99"/>
      <c r="F99"/>
      <c r="G99"/>
      <c r="H99"/>
      <c r="I99"/>
    </row>
    <row r="100" spans="1:9" ht="13" outlineLevel="1" x14ac:dyDescent="0.3">
      <c r="E100"/>
      <c r="F100"/>
      <c r="G100"/>
      <c r="H100" s="12"/>
      <c r="I100"/>
    </row>
    <row r="101" spans="1:9" ht="13" outlineLevel="1" x14ac:dyDescent="0.3">
      <c r="E101"/>
      <c r="F101"/>
      <c r="G101"/>
      <c r="H101"/>
      <c r="I101"/>
    </row>
    <row r="102" spans="1:9" ht="13" outlineLevel="1" x14ac:dyDescent="0.3">
      <c r="D102"/>
      <c r="E102"/>
      <c r="F102"/>
      <c r="G102"/>
      <c r="H102"/>
      <c r="I102"/>
    </row>
    <row r="103" spans="1:9" ht="13" outlineLevel="1" x14ac:dyDescent="0.3">
      <c r="A103"/>
      <c r="D103" s="13"/>
      <c r="E103"/>
      <c r="F103"/>
      <c r="G103"/>
      <c r="H103"/>
      <c r="I103"/>
    </row>
    <row r="104" spans="1:9" ht="14" customHeight="1" outlineLevel="1" x14ac:dyDescent="0.3">
      <c r="A104"/>
      <c r="D104" s="13"/>
      <c r="E104"/>
      <c r="F104"/>
      <c r="G104"/>
      <c r="H104"/>
      <c r="I104"/>
    </row>
    <row r="105" spans="1:9" ht="13" outlineLevel="1" x14ac:dyDescent="0.3">
      <c r="A105"/>
      <c r="D105" s="13"/>
      <c r="E105"/>
      <c r="F105"/>
      <c r="G105"/>
      <c r="H105"/>
      <c r="I105"/>
    </row>
    <row r="106" spans="1:9" ht="13.25" customHeight="1" outlineLevel="1" x14ac:dyDescent="0.3">
      <c r="A106"/>
      <c r="D106" s="13"/>
      <c r="E106"/>
      <c r="F106"/>
      <c r="G106"/>
      <c r="H106"/>
      <c r="I106"/>
    </row>
    <row r="107" spans="1:9" ht="13" outlineLevel="1" x14ac:dyDescent="0.3">
      <c r="A107"/>
      <c r="D107" s="13"/>
      <c r="E107"/>
      <c r="F107"/>
      <c r="G107"/>
      <c r="H107"/>
      <c r="I107"/>
    </row>
    <row r="108" spans="1:9" outlineLevel="1" x14ac:dyDescent="0.25">
      <c r="B108" s="5"/>
      <c r="C108" s="5"/>
      <c r="D108" s="5"/>
    </row>
    <row r="109" spans="1:9" outlineLevel="1" x14ac:dyDescent="0.25">
      <c r="B109" s="5"/>
      <c r="C109" s="5"/>
      <c r="D109" s="5"/>
    </row>
    <row r="110" spans="1:9" outlineLevel="1" x14ac:dyDescent="0.25">
      <c r="B110" s="5"/>
      <c r="C110" s="5"/>
      <c r="D110" s="5"/>
    </row>
    <row r="111" spans="1:9" outlineLevel="1" x14ac:dyDescent="0.25"/>
    <row r="112" spans="1:9" ht="18.75" customHeight="1" x14ac:dyDescent="0.45">
      <c r="B112" s="4" t="s">
        <v>25</v>
      </c>
    </row>
    <row r="113" spans="2:7" outlineLevel="1" x14ac:dyDescent="0.25"/>
    <row r="114" spans="2:7" ht="13" outlineLevel="1" x14ac:dyDescent="0.25">
      <c r="B114" s="15" t="s">
        <v>7</v>
      </c>
      <c r="C114" s="15" t="s">
        <v>9</v>
      </c>
      <c r="D114" s="15" t="s">
        <v>10</v>
      </c>
      <c r="F114" s="5" t="s">
        <v>28</v>
      </c>
      <c r="G114" s="16"/>
    </row>
    <row r="115" spans="2:7" ht="13" outlineLevel="1" x14ac:dyDescent="0.3">
      <c r="B115" s="7" t="s">
        <v>11</v>
      </c>
      <c r="C115" s="7" t="s">
        <v>14</v>
      </c>
      <c r="D115" s="8">
        <v>1522</v>
      </c>
      <c r="F115" s="5"/>
      <c r="G115" s="16"/>
    </row>
    <row r="116" spans="2:7" ht="12.75" customHeight="1" outlineLevel="1" x14ac:dyDescent="0.3">
      <c r="B116" s="7" t="s">
        <v>11</v>
      </c>
      <c r="C116" s="7" t="s">
        <v>15</v>
      </c>
      <c r="D116" s="8">
        <v>1589</v>
      </c>
      <c r="F116" s="18" t="s">
        <v>29</v>
      </c>
      <c r="G116" s="17">
        <f>SUM(Sales2)</f>
        <v>36826</v>
      </c>
    </row>
    <row r="117" spans="2:7" ht="31.5" customHeight="1" outlineLevel="1" x14ac:dyDescent="0.3">
      <c r="B117" s="7" t="s">
        <v>11</v>
      </c>
      <c r="C117" s="7" t="s">
        <v>16</v>
      </c>
      <c r="D117" s="8">
        <v>1829</v>
      </c>
      <c r="F117" s="18" t="s">
        <v>30</v>
      </c>
      <c r="G117" s="17">
        <f>SUBTOTAL(9,Sales2)</f>
        <v>18413</v>
      </c>
    </row>
    <row r="118" spans="2:7" ht="13.5" customHeight="1" outlineLevel="1" x14ac:dyDescent="0.3">
      <c r="B118" s="7" t="s">
        <v>11</v>
      </c>
      <c r="C118" s="7" t="s">
        <v>16</v>
      </c>
      <c r="D118" s="8">
        <v>1797</v>
      </c>
    </row>
    <row r="119" spans="2:7" ht="13" outlineLevel="1" x14ac:dyDescent="0.3">
      <c r="B119" s="7" t="s">
        <v>11</v>
      </c>
      <c r="C119" s="7" t="s">
        <v>15</v>
      </c>
      <c r="D119" s="8">
        <v>1744</v>
      </c>
    </row>
    <row r="120" spans="2:7" ht="13.5" outlineLevel="1" thickBot="1" x14ac:dyDescent="0.35">
      <c r="B120" s="7"/>
      <c r="C120" s="7"/>
      <c r="D120" s="11">
        <f>SUBTOTAL(9,JanSales)</f>
        <v>8481</v>
      </c>
    </row>
    <row r="121" spans="2:7" ht="13.5" outlineLevel="1" thickTop="1" x14ac:dyDescent="0.3">
      <c r="B121" s="7" t="s">
        <v>12</v>
      </c>
      <c r="C121" s="7" t="s">
        <v>15</v>
      </c>
      <c r="D121" s="10">
        <v>1868</v>
      </c>
    </row>
    <row r="122" spans="2:7" ht="13" outlineLevel="1" x14ac:dyDescent="0.3">
      <c r="B122" s="7" t="s">
        <v>12</v>
      </c>
      <c r="C122" s="7" t="s">
        <v>17</v>
      </c>
      <c r="D122" s="8">
        <v>1694</v>
      </c>
    </row>
    <row r="123" spans="2:7" ht="13.5" outlineLevel="1" thickBot="1" x14ac:dyDescent="0.35">
      <c r="B123" s="7"/>
      <c r="C123" s="7"/>
      <c r="D123" s="11">
        <v>3562</v>
      </c>
    </row>
    <row r="124" spans="2:7" ht="13.5" outlineLevel="1" thickTop="1" x14ac:dyDescent="0.3">
      <c r="B124" s="7" t="s">
        <v>13</v>
      </c>
      <c r="C124" s="7" t="s">
        <v>17</v>
      </c>
      <c r="D124" s="8">
        <v>1626</v>
      </c>
    </row>
    <row r="125" spans="2:7" ht="13" outlineLevel="1" x14ac:dyDescent="0.3">
      <c r="B125" s="7" t="s">
        <v>13</v>
      </c>
      <c r="C125" s="7" t="s">
        <v>15</v>
      </c>
      <c r="D125" s="8">
        <v>1781</v>
      </c>
    </row>
    <row r="126" spans="2:7" ht="13.5" outlineLevel="1" thickBot="1" x14ac:dyDescent="0.35">
      <c r="B126" s="7"/>
      <c r="C126" s="7"/>
      <c r="D126" s="11">
        <f>SUBTOTAL(9,MarSales)</f>
        <v>3407</v>
      </c>
    </row>
    <row r="127" spans="2:7" ht="13.5" outlineLevel="1" thickTop="1" x14ac:dyDescent="0.3">
      <c r="B127" s="7" t="s">
        <v>4</v>
      </c>
      <c r="C127" s="7" t="s">
        <v>16</v>
      </c>
      <c r="D127" s="8">
        <v>1279</v>
      </c>
    </row>
    <row r="128" spans="2:7" ht="13" outlineLevel="1" x14ac:dyDescent="0.3">
      <c r="B128" s="7" t="s">
        <v>4</v>
      </c>
      <c r="C128" s="7" t="s">
        <v>14</v>
      </c>
      <c r="D128" s="8">
        <v>1684</v>
      </c>
    </row>
    <row r="129" spans="2:9" ht="13" outlineLevel="1" x14ac:dyDescent="0.3">
      <c r="B129" s="7"/>
      <c r="C129" s="7"/>
      <c r="D129" s="9">
        <v>2963</v>
      </c>
    </row>
    <row r="130" spans="2:9" outlineLevel="1" x14ac:dyDescent="0.25"/>
    <row r="131" spans="2:9" ht="13" outlineLevel="1" x14ac:dyDescent="0.3">
      <c r="D131" s="16"/>
      <c r="E131" s="16"/>
      <c r="F131"/>
      <c r="G131"/>
      <c r="H131"/>
    </row>
    <row r="132" spans="2:9" ht="13" outlineLevel="1" x14ac:dyDescent="0.3">
      <c r="D132" s="16"/>
      <c r="E132" s="16"/>
      <c r="F132"/>
      <c r="G132"/>
      <c r="H132"/>
    </row>
    <row r="133" spans="2:9" ht="13" outlineLevel="1" x14ac:dyDescent="0.3">
      <c r="E133"/>
      <c r="F133"/>
      <c r="G133"/>
      <c r="H133"/>
      <c r="I133"/>
    </row>
    <row r="134" spans="2:9" ht="13" outlineLevel="1" x14ac:dyDescent="0.3">
      <c r="E134"/>
      <c r="F134"/>
      <c r="G134"/>
      <c r="H134"/>
      <c r="I134"/>
    </row>
    <row r="135" spans="2:9" outlineLevel="1" x14ac:dyDescent="0.25"/>
  </sheetData>
  <autoFilter ref="B65:D76"/>
  <mergeCells count="2">
    <mergeCell ref="B8:D9"/>
    <mergeCell ref="B62:D63"/>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ThisWorkbook.Instruction_To_1A">
                <anchor moveWithCells="1" sizeWithCells="1">
                  <from>
                    <xdr:col>2</xdr:col>
                    <xdr:colOff>571500</xdr:colOff>
                    <xdr:row>46</xdr:row>
                    <xdr:rowOff>101600</xdr:rowOff>
                  </from>
                  <to>
                    <xdr:col>3</xdr:col>
                    <xdr:colOff>749300</xdr:colOff>
                    <xdr:row>49</xdr:row>
                    <xdr:rowOff>139700</xdr:rowOff>
                  </to>
                </anchor>
              </controlPr>
            </control>
          </mc:Choice>
        </mc:AlternateContent>
        <mc:AlternateContent xmlns:mc="http://schemas.openxmlformats.org/markup-compatibility/2006">
          <mc:Choice Requires="x14">
            <control shapeId="2053" r:id="rId5" name="Button 5">
              <controlPr defaultSize="0" print="0" autoFill="0" autoPict="0" macro="[0]!ThisWorkbook.Instruction_To_1B">
                <anchor moveWithCells="1" sizeWithCells="1">
                  <from>
                    <xdr:col>2</xdr:col>
                    <xdr:colOff>685800</xdr:colOff>
                    <xdr:row>97</xdr:row>
                    <xdr:rowOff>114300</xdr:rowOff>
                  </from>
                  <to>
                    <xdr:col>3</xdr:col>
                    <xdr:colOff>863600</xdr:colOff>
                    <xdr:row>101</xdr:row>
                    <xdr:rowOff>0</xdr:rowOff>
                  </to>
                </anchor>
              </controlPr>
            </control>
          </mc:Choice>
        </mc:AlternateContent>
        <mc:AlternateContent xmlns:mc="http://schemas.openxmlformats.org/markup-compatibility/2006">
          <mc:Choice Requires="x14">
            <control shapeId="2054" r:id="rId6" name="Button 6">
              <controlPr defaultSize="0" print="0" autoFill="0" autoPict="0" macro="[0]!ThisWorkbook.Instruction_To_2">
                <anchor moveWithCells="1" sizeWithCells="1">
                  <from>
                    <xdr:col>2</xdr:col>
                    <xdr:colOff>469900</xdr:colOff>
                    <xdr:row>133</xdr:row>
                    <xdr:rowOff>25400</xdr:rowOff>
                  </from>
                  <to>
                    <xdr:col>3</xdr:col>
                    <xdr:colOff>647700</xdr:colOff>
                    <xdr:row>136</xdr:row>
                    <xdr:rowOff>63500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Cover Page</vt:lpstr>
      <vt:lpstr>Table of contents</vt:lpstr>
      <vt:lpstr>Section 1 - Instruction</vt:lpstr>
      <vt:lpstr>Section 1 - Instruction (ANS)</vt:lpstr>
      <vt:lpstr>AprilSales</vt:lpstr>
      <vt:lpstr>FebSales</vt:lpstr>
      <vt:lpstr>JanSales</vt:lpstr>
      <vt:lpstr>MarSales</vt:lpstr>
      <vt:lpstr>Sales2</vt:lpstr>
      <vt:lpstr>SalesA</vt:lpstr>
      <vt:lpstr>SalesB</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Barbara Vyse</cp:lastModifiedBy>
  <dcterms:created xsi:type="dcterms:W3CDTF">2016-06-22T22:01:00Z</dcterms:created>
  <dcterms:modified xsi:type="dcterms:W3CDTF">2019-06-06T14:44:58Z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